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lips" sheetId="1" state="visible" r:id="rId1"/>
    <sheet name="Summary" sheetId="2" state="visible" r:id="rId2"/>
  </sheets>
  <definedNames>
    <definedName name="_xlnm._FilterDatabase" localSheetId="0" hidden="1">'Flips'!$A$1:$AA$135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\$#,##0;&quot;($&quot;#,##0\);\-"/>
    <numFmt numFmtId="166" formatCode="0.0\x"/>
    <numFmt numFmtId="167" formatCode="\$#,##0"/>
    <numFmt numFmtId="168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sz val="13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65" fontId="5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pivotButton="0" quotePrefix="0" xfId="0"/>
    <xf numFmtId="3" fontId="0" fillId="0" borderId="0" pivotButton="0" quotePrefix="0" xfId="0"/>
    <xf numFmtId="167" fontId="5" fillId="0" borderId="0" applyAlignment="1" pivotButton="0" quotePrefix="0" xfId="0">
      <alignment horizontal="general" vertical="bottom"/>
    </xf>
    <xf numFmtId="168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buzzerbeater.com/player/41691320/overview.aspx" TargetMode="External" Id="rId1" /><Relationship Type="http://schemas.openxmlformats.org/officeDocument/2006/relationships/hyperlink" Target="https://buzzerbeater.com/player/42106233/overview.aspx" TargetMode="External" Id="rId2" /><Relationship Type="http://schemas.openxmlformats.org/officeDocument/2006/relationships/hyperlink" Target="https://buzzerbeater.com/player/41385714/overview.aspx" TargetMode="External" Id="rId3" /><Relationship Type="http://schemas.openxmlformats.org/officeDocument/2006/relationships/hyperlink" Target="https://buzzerbeater.com/player/42281787/overview.aspx" TargetMode="External" Id="rId4" /><Relationship Type="http://schemas.openxmlformats.org/officeDocument/2006/relationships/hyperlink" Target="https://buzzerbeater.com/player/41862455/overview.aspx" TargetMode="External" Id="rId5" /><Relationship Type="http://schemas.openxmlformats.org/officeDocument/2006/relationships/hyperlink" Target="https://buzzerbeater.com/player/41704433/overview.aspx" TargetMode="External" Id="rId6" /><Relationship Type="http://schemas.openxmlformats.org/officeDocument/2006/relationships/hyperlink" Target="https://buzzerbeater.com/player/42352280/overview.aspx" TargetMode="External" Id="rId7" /><Relationship Type="http://schemas.openxmlformats.org/officeDocument/2006/relationships/hyperlink" Target="https://buzzerbeater.com/player/42604416/overview.aspx" TargetMode="External" Id="rId8" /><Relationship Type="http://schemas.openxmlformats.org/officeDocument/2006/relationships/hyperlink" Target="https://buzzerbeater.com/player/42601397/overview.aspx" TargetMode="External" Id="rId9" /><Relationship Type="http://schemas.openxmlformats.org/officeDocument/2006/relationships/hyperlink" Target="https://buzzerbeater.com/player/42725108/overview.aspx" TargetMode="External" Id="rId10" /><Relationship Type="http://schemas.openxmlformats.org/officeDocument/2006/relationships/hyperlink" Target="https://buzzerbeater.com/player/43007337/overview.aspx" TargetMode="External" Id="rId11" /><Relationship Type="http://schemas.openxmlformats.org/officeDocument/2006/relationships/hyperlink" Target="https://buzzerbeater.com/player/42443844/overview.aspx" TargetMode="External" Id="rId12" /><Relationship Type="http://schemas.openxmlformats.org/officeDocument/2006/relationships/hyperlink" Target="https://buzzerbeater.com/player/42943544/overview.aspx" TargetMode="External" Id="rId13" /><Relationship Type="http://schemas.openxmlformats.org/officeDocument/2006/relationships/hyperlink" Target="https://buzzerbeater.com/player/43517742/overview.aspx" TargetMode="External" Id="rId14" /><Relationship Type="http://schemas.openxmlformats.org/officeDocument/2006/relationships/hyperlink" Target="https://buzzerbeater.com/player/43143179/overview.aspx" TargetMode="External" Id="rId15" /><Relationship Type="http://schemas.openxmlformats.org/officeDocument/2006/relationships/hyperlink" Target="https://buzzerbeater.com/player/43866699/overview.aspx" TargetMode="External" Id="rId16" /><Relationship Type="http://schemas.openxmlformats.org/officeDocument/2006/relationships/hyperlink" Target="https://buzzerbeater.com/player/43437279/overview.aspx" TargetMode="External" Id="rId17" /><Relationship Type="http://schemas.openxmlformats.org/officeDocument/2006/relationships/hyperlink" Target="https://buzzerbeater.com/player/43840973/overview.aspx" TargetMode="External" Id="rId18" /><Relationship Type="http://schemas.openxmlformats.org/officeDocument/2006/relationships/hyperlink" Target="https://buzzerbeater.com/player/43200221/overview.aspx" TargetMode="External" Id="rId19" /><Relationship Type="http://schemas.openxmlformats.org/officeDocument/2006/relationships/hyperlink" Target="https://buzzerbeater.com/player/43437820/overview.aspx" TargetMode="External" Id="rId20" /><Relationship Type="http://schemas.openxmlformats.org/officeDocument/2006/relationships/hyperlink" Target="https://buzzerbeater.com/player/43733059/overview.aspx" TargetMode="External" Id="rId21" /><Relationship Type="http://schemas.openxmlformats.org/officeDocument/2006/relationships/hyperlink" Target="https://buzzerbeater.com/player/44059881/overview.aspx" TargetMode="External" Id="rId22" /><Relationship Type="http://schemas.openxmlformats.org/officeDocument/2006/relationships/hyperlink" Target="https://buzzerbeater.com/player/44147373/overview.aspx" TargetMode="External" Id="rId23" /><Relationship Type="http://schemas.openxmlformats.org/officeDocument/2006/relationships/hyperlink" Target="https://buzzerbeater.com/player/44229075/overview.aspx" TargetMode="External" Id="rId24" /><Relationship Type="http://schemas.openxmlformats.org/officeDocument/2006/relationships/hyperlink" Target="https://buzzerbeater.com/player/44633410/overview.aspx" TargetMode="External" Id="rId25" /><Relationship Type="http://schemas.openxmlformats.org/officeDocument/2006/relationships/hyperlink" Target="https://buzzerbeater.com/player/44226559/overview.aspx" TargetMode="External" Id="rId26" /><Relationship Type="http://schemas.openxmlformats.org/officeDocument/2006/relationships/hyperlink" Target="https://buzzerbeater.com/player/44150432/overview.aspx" TargetMode="External" Id="rId27" /><Relationship Type="http://schemas.openxmlformats.org/officeDocument/2006/relationships/hyperlink" Target="https://buzzerbeater.com/player/44309144/overview.aspx" TargetMode="External" Id="rId28" /><Relationship Type="http://schemas.openxmlformats.org/officeDocument/2006/relationships/hyperlink" Target="https://buzzerbeater.com/player/44058673/overview.aspx" TargetMode="External" Id="rId29" /><Relationship Type="http://schemas.openxmlformats.org/officeDocument/2006/relationships/hyperlink" Target="https://buzzerbeater.com/player/44100991/overview.aspx" TargetMode="External" Id="rId30" /><Relationship Type="http://schemas.openxmlformats.org/officeDocument/2006/relationships/hyperlink" Target="https://buzzerbeater.com/player/44946064/overview.aspx" TargetMode="External" Id="rId31" /><Relationship Type="http://schemas.openxmlformats.org/officeDocument/2006/relationships/hyperlink" Target="https://buzzerbeater.com/player/44946495/overview.aspx" TargetMode="External" Id="rId32" /><Relationship Type="http://schemas.openxmlformats.org/officeDocument/2006/relationships/hyperlink" Target="https://buzzerbeater.com/player/45324882/overview.aspx" TargetMode="External" Id="rId33" /><Relationship Type="http://schemas.openxmlformats.org/officeDocument/2006/relationships/hyperlink" Target="https://buzzerbeater.com/player/45306844/overview.aspx" TargetMode="External" Id="rId34" /><Relationship Type="http://schemas.openxmlformats.org/officeDocument/2006/relationships/hyperlink" Target="https://buzzerbeater.com/player/45078706/overview.aspx" TargetMode="External" Id="rId35" /><Relationship Type="http://schemas.openxmlformats.org/officeDocument/2006/relationships/hyperlink" Target="https://buzzerbeater.com/player/45232526/overview.aspx" TargetMode="External" Id="rId36" /><Relationship Type="http://schemas.openxmlformats.org/officeDocument/2006/relationships/hyperlink" Target="https://buzzerbeater.com/player/44900658/overview.aspx" TargetMode="External" Id="rId37" /><Relationship Type="http://schemas.openxmlformats.org/officeDocument/2006/relationships/hyperlink" Target="https://buzzerbeater.com/player/45719792/overview.aspx" TargetMode="External" Id="rId38" /><Relationship Type="http://schemas.openxmlformats.org/officeDocument/2006/relationships/hyperlink" Target="https://buzzerbeater.com/player/45887858/overview.aspx" TargetMode="External" Id="rId39" /><Relationship Type="http://schemas.openxmlformats.org/officeDocument/2006/relationships/hyperlink" Target="https://buzzerbeater.com/player/46104453/overview.aspx" TargetMode="External" Id="rId40" /><Relationship Type="http://schemas.openxmlformats.org/officeDocument/2006/relationships/hyperlink" Target="https://buzzerbeater.com/player/46104432/overview.aspx" TargetMode="External" Id="rId41" /><Relationship Type="http://schemas.openxmlformats.org/officeDocument/2006/relationships/hyperlink" Target="https://buzzerbeater.com/player/46237047/overview.aspx" TargetMode="External" Id="rId42" /><Relationship Type="http://schemas.openxmlformats.org/officeDocument/2006/relationships/hyperlink" Target="https://buzzerbeater.com/player/46368878/overview.aspx" TargetMode="External" Id="rId43" /><Relationship Type="http://schemas.openxmlformats.org/officeDocument/2006/relationships/hyperlink" Target="https://buzzerbeater.com/player/46551912/overview.aspx" TargetMode="External" Id="rId44" /><Relationship Type="http://schemas.openxmlformats.org/officeDocument/2006/relationships/hyperlink" Target="https://buzzerbeater.com/player/46509792/overview.aspx" TargetMode="External" Id="rId45" /><Relationship Type="http://schemas.openxmlformats.org/officeDocument/2006/relationships/hyperlink" Target="https://buzzerbeater.com/player/46473548/overview.aspx" TargetMode="External" Id="rId46" /><Relationship Type="http://schemas.openxmlformats.org/officeDocument/2006/relationships/hyperlink" Target="https://buzzerbeater.com/player/46498648/overview.aspx" TargetMode="External" Id="rId47" /><Relationship Type="http://schemas.openxmlformats.org/officeDocument/2006/relationships/hyperlink" Target="https://buzzerbeater.com/player/46498409/overview.aspx" TargetMode="External" Id="rId48" /><Relationship Type="http://schemas.openxmlformats.org/officeDocument/2006/relationships/hyperlink" Target="https://buzzerbeater.com/player/46340566/overview.aspx" TargetMode="External" Id="rId49" /><Relationship Type="http://schemas.openxmlformats.org/officeDocument/2006/relationships/hyperlink" Target="https://buzzerbeater.com/player/46861239/overview.aspx" TargetMode="External" Id="rId50" /><Relationship Type="http://schemas.openxmlformats.org/officeDocument/2006/relationships/hyperlink" Target="https://buzzerbeater.com/player/46864760/overview.aspx" TargetMode="External" Id="rId51" /><Relationship Type="http://schemas.openxmlformats.org/officeDocument/2006/relationships/hyperlink" Target="https://buzzerbeater.com/player/46817617/overview.aspx" TargetMode="External" Id="rId52" /><Relationship Type="http://schemas.openxmlformats.org/officeDocument/2006/relationships/hyperlink" Target="https://buzzerbeater.com/player/46861192/overview.aspx" TargetMode="External" Id="rId53" /><Relationship Type="http://schemas.openxmlformats.org/officeDocument/2006/relationships/hyperlink" Target="https://buzzerbeater.com/player/46785024/overview.aspx" TargetMode="External" Id="rId54" /><Relationship Type="http://schemas.openxmlformats.org/officeDocument/2006/relationships/hyperlink" Target="https://buzzerbeater.com/player/46861491/overview.aspx" TargetMode="External" Id="rId55" /><Relationship Type="http://schemas.openxmlformats.org/officeDocument/2006/relationships/hyperlink" Target="https://buzzerbeater.com/player/47086592/overview.aspx" TargetMode="External" Id="rId56" /><Relationship Type="http://schemas.openxmlformats.org/officeDocument/2006/relationships/hyperlink" Target="https://buzzerbeater.com/player/46984900/overview.aspx" TargetMode="External" Id="rId57" /><Relationship Type="http://schemas.openxmlformats.org/officeDocument/2006/relationships/hyperlink" Target="https://buzzerbeater.com/player/46984823/overview.aspx" TargetMode="External" Id="rId58" /><Relationship Type="http://schemas.openxmlformats.org/officeDocument/2006/relationships/hyperlink" Target="https://buzzerbeater.com/player/47151137/overview.aspx" TargetMode="External" Id="rId59" /><Relationship Type="http://schemas.openxmlformats.org/officeDocument/2006/relationships/hyperlink" Target="https://buzzerbeater.com/player/47478698/overview.aspx" TargetMode="External" Id="rId60" /><Relationship Type="http://schemas.openxmlformats.org/officeDocument/2006/relationships/hyperlink" Target="https://buzzerbeater.com/player/46939723/overview.aspx" TargetMode="External" Id="rId61" /><Relationship Type="http://schemas.openxmlformats.org/officeDocument/2006/relationships/hyperlink" Target="https://buzzerbeater.com/player/47168290/overview.aspx" TargetMode="External" Id="rId62" /><Relationship Type="http://schemas.openxmlformats.org/officeDocument/2006/relationships/hyperlink" Target="https://buzzerbeater.com/player/47268316/overview.aspx" TargetMode="External" Id="rId63" /><Relationship Type="http://schemas.openxmlformats.org/officeDocument/2006/relationships/hyperlink" Target="https://buzzerbeater.com/player/47462539/overview.aspx" TargetMode="External" Id="rId64" /><Relationship Type="http://schemas.openxmlformats.org/officeDocument/2006/relationships/hyperlink" Target="https://buzzerbeater.com/player/47356539/overview.aspx" TargetMode="External" Id="rId65" /><Relationship Type="http://schemas.openxmlformats.org/officeDocument/2006/relationships/hyperlink" Target="https://buzzerbeater.com/player/47307403/overview.aspx" TargetMode="External" Id="rId66" /><Relationship Type="http://schemas.openxmlformats.org/officeDocument/2006/relationships/hyperlink" Target="https://buzzerbeater.com/player/47602470/overview.aspx" TargetMode="External" Id="rId67" /><Relationship Type="http://schemas.openxmlformats.org/officeDocument/2006/relationships/hyperlink" Target="https://buzzerbeater.com/player/47621291/overview.aspx" TargetMode="External" Id="rId68" /><Relationship Type="http://schemas.openxmlformats.org/officeDocument/2006/relationships/hyperlink" Target="https://buzzerbeater.com/player/47324017/overview.aspx" TargetMode="External" Id="rId69" /><Relationship Type="http://schemas.openxmlformats.org/officeDocument/2006/relationships/hyperlink" Target="https://buzzerbeater.com/player/47583027/overview.aspx" TargetMode="External" Id="rId70" /><Relationship Type="http://schemas.openxmlformats.org/officeDocument/2006/relationships/hyperlink" Target="https://buzzerbeater.com/player/47766552/overview.aspx" TargetMode="External" Id="rId71" /><Relationship Type="http://schemas.openxmlformats.org/officeDocument/2006/relationships/hyperlink" Target="https://buzzerbeater.com/player/47601029/overview.aspx" TargetMode="External" Id="rId72" /><Relationship Type="http://schemas.openxmlformats.org/officeDocument/2006/relationships/hyperlink" Target="https://buzzerbeater.com/player/47838583/overview.aspx" TargetMode="External" Id="rId73" /><Relationship Type="http://schemas.openxmlformats.org/officeDocument/2006/relationships/hyperlink" Target="https://buzzerbeater.com/player/47746017/overview.aspx" TargetMode="External" Id="rId74" /><Relationship Type="http://schemas.openxmlformats.org/officeDocument/2006/relationships/hyperlink" Target="https://buzzerbeater.com/player/47982986/overview.aspx" TargetMode="External" Id="rId75" /><Relationship Type="http://schemas.openxmlformats.org/officeDocument/2006/relationships/hyperlink" Target="https://buzzerbeater.com/player/48192833/overview.aspx" TargetMode="External" Id="rId76" /><Relationship Type="http://schemas.openxmlformats.org/officeDocument/2006/relationships/hyperlink" Target="https://buzzerbeater.com/player/48196453/overview.aspx" TargetMode="External" Id="rId77" /><Relationship Type="http://schemas.openxmlformats.org/officeDocument/2006/relationships/hyperlink" Target="https://buzzerbeater.com/player/48402258/overview.aspx" TargetMode="External" Id="rId78" /><Relationship Type="http://schemas.openxmlformats.org/officeDocument/2006/relationships/hyperlink" Target="https://buzzerbeater.com/player/47906107/overview.aspx" TargetMode="External" Id="rId79" /><Relationship Type="http://schemas.openxmlformats.org/officeDocument/2006/relationships/hyperlink" Target="https://buzzerbeater.com/player/48290910/overview.aspx" TargetMode="External" Id="rId80" /><Relationship Type="http://schemas.openxmlformats.org/officeDocument/2006/relationships/hyperlink" Target="https://buzzerbeater.com/player/48092898/overview.aspx" TargetMode="External" Id="rId81" /><Relationship Type="http://schemas.openxmlformats.org/officeDocument/2006/relationships/hyperlink" Target="https://buzzerbeater.com/player/48046708/overview.aspx" TargetMode="External" Id="rId82" /><Relationship Type="http://schemas.openxmlformats.org/officeDocument/2006/relationships/hyperlink" Target="https://buzzerbeater.com/player/48483679/overview.aspx" TargetMode="External" Id="rId83" /><Relationship Type="http://schemas.openxmlformats.org/officeDocument/2006/relationships/hyperlink" Target="https://buzzerbeater.com/player/48538719/overview.aspx" TargetMode="External" Id="rId84" /><Relationship Type="http://schemas.openxmlformats.org/officeDocument/2006/relationships/hyperlink" Target="https://buzzerbeater.com/player/48681700/overview.aspx" TargetMode="External" Id="rId85" /><Relationship Type="http://schemas.openxmlformats.org/officeDocument/2006/relationships/hyperlink" Target="https://buzzerbeater.com/player/48402838/overview.aspx" TargetMode="External" Id="rId86" /><Relationship Type="http://schemas.openxmlformats.org/officeDocument/2006/relationships/hyperlink" Target="https://buzzerbeater.com/player/48724116/overview.aspx" TargetMode="External" Id="rId87" /><Relationship Type="http://schemas.openxmlformats.org/officeDocument/2006/relationships/hyperlink" Target="https://buzzerbeater.com/player/48495807/overview.aspx" TargetMode="External" Id="rId88" /><Relationship Type="http://schemas.openxmlformats.org/officeDocument/2006/relationships/hyperlink" Target="https://buzzerbeater.com/player/48705165/overview.aspx" TargetMode="External" Id="rId89" /><Relationship Type="http://schemas.openxmlformats.org/officeDocument/2006/relationships/hyperlink" Target="https://buzzerbeater.com/player/48644609/overview.aspx" TargetMode="External" Id="rId90" /><Relationship Type="http://schemas.openxmlformats.org/officeDocument/2006/relationships/hyperlink" Target="https://buzzerbeater.com/player/48996713/overview.aspx" TargetMode="External" Id="rId91" /><Relationship Type="http://schemas.openxmlformats.org/officeDocument/2006/relationships/hyperlink" Target="https://buzzerbeater.com/player/48661025/overview.aspx" TargetMode="External" Id="rId92" /><Relationship Type="http://schemas.openxmlformats.org/officeDocument/2006/relationships/hyperlink" Target="https://buzzerbeater.com/player/49022798/overview.aspx" TargetMode="External" Id="rId93" /><Relationship Type="http://schemas.openxmlformats.org/officeDocument/2006/relationships/hyperlink" Target="https://buzzerbeater.com/player/49393626/overview.aspx" TargetMode="External" Id="rId94" /><Relationship Type="http://schemas.openxmlformats.org/officeDocument/2006/relationships/hyperlink" Target="https://buzzerbeater.com/player/49277832/overview.aspx" TargetMode="External" Id="rId95" /><Relationship Type="http://schemas.openxmlformats.org/officeDocument/2006/relationships/hyperlink" Target="https://buzzerbeater.com/player/48980316/overview.aspx" TargetMode="External" Id="rId96" /><Relationship Type="http://schemas.openxmlformats.org/officeDocument/2006/relationships/hyperlink" Target="https://buzzerbeater.com/player/48931053/overview.aspx" TargetMode="External" Id="rId97" /><Relationship Type="http://schemas.openxmlformats.org/officeDocument/2006/relationships/hyperlink" Target="https://buzzerbeater.com/player/49575590/overview.aspx" TargetMode="External" Id="rId98" /><Relationship Type="http://schemas.openxmlformats.org/officeDocument/2006/relationships/hyperlink" Target="https://buzzerbeater.com/player/49181507/overview.aspx" TargetMode="External" Id="rId99" /><Relationship Type="http://schemas.openxmlformats.org/officeDocument/2006/relationships/hyperlink" Target="https://buzzerbeater.com/player/49131562/overview.aspx" TargetMode="External" Id="rId100" /><Relationship Type="http://schemas.openxmlformats.org/officeDocument/2006/relationships/hyperlink" Target="https://buzzerbeater.com/player/49390085/overview.aspx" TargetMode="External" Id="rId101" /><Relationship Type="http://schemas.openxmlformats.org/officeDocument/2006/relationships/hyperlink" Target="https://buzzerbeater.com/player/49387594/overview.aspx" TargetMode="External" Id="rId102" /><Relationship Type="http://schemas.openxmlformats.org/officeDocument/2006/relationships/hyperlink" Target="https://buzzerbeater.com/player/49632952/overview.aspx" TargetMode="External" Id="rId103" /><Relationship Type="http://schemas.openxmlformats.org/officeDocument/2006/relationships/hyperlink" Target="https://buzzerbeater.com/player/49554195/overview.aspx" TargetMode="External" Id="rId104" /><Relationship Type="http://schemas.openxmlformats.org/officeDocument/2006/relationships/hyperlink" Target="https://buzzerbeater.com/player/49578194/overview.aspx" TargetMode="External" Id="rId105" /><Relationship Type="http://schemas.openxmlformats.org/officeDocument/2006/relationships/hyperlink" Target="https://buzzerbeater.com/player/49575965/overview.aspx" TargetMode="External" Id="rId106" /><Relationship Type="http://schemas.openxmlformats.org/officeDocument/2006/relationships/hyperlink" Target="https://buzzerbeater.com/player/50366638/overview.aspx" TargetMode="External" Id="rId107" /><Relationship Type="http://schemas.openxmlformats.org/officeDocument/2006/relationships/hyperlink" Target="https://buzzerbeater.com/player/50528014/overview.aspx" TargetMode="External" Id="rId108" /><Relationship Type="http://schemas.openxmlformats.org/officeDocument/2006/relationships/hyperlink" Target="https://buzzerbeater.com/player/50459992/overview.aspx" TargetMode="External" Id="rId109" /><Relationship Type="http://schemas.openxmlformats.org/officeDocument/2006/relationships/hyperlink" Target="https://buzzerbeater.com/player/49744055/overview.aspx" TargetMode="External" Id="rId110" /><Relationship Type="http://schemas.openxmlformats.org/officeDocument/2006/relationships/hyperlink" Target="https://buzzerbeater.com/player/49983009/overview.aspx" TargetMode="External" Id="rId111" /><Relationship Type="http://schemas.openxmlformats.org/officeDocument/2006/relationships/hyperlink" Target="https://buzzerbeater.com/player/50683632/overview.aspx" TargetMode="External" Id="rId112" /><Relationship Type="http://schemas.openxmlformats.org/officeDocument/2006/relationships/hyperlink" Target="https://buzzerbeater.com/player/50314859/overview.aspx" TargetMode="External" Id="rId113" /><Relationship Type="http://schemas.openxmlformats.org/officeDocument/2006/relationships/hyperlink" Target="https://buzzerbeater.com/player/50566300/overview.aspx" TargetMode="External" Id="rId114" /><Relationship Type="http://schemas.openxmlformats.org/officeDocument/2006/relationships/hyperlink" Target="https://buzzerbeater.com/player/50705727/overview.aspx" TargetMode="External" Id="rId115" /><Relationship Type="http://schemas.openxmlformats.org/officeDocument/2006/relationships/hyperlink" Target="https://buzzerbeater.com/player/50511506/overview.aspx" TargetMode="External" Id="rId116" /><Relationship Type="http://schemas.openxmlformats.org/officeDocument/2006/relationships/hyperlink" Target="https://buzzerbeater.com/player/51402902/overview.aspx" TargetMode="External" Id="rId117" /><Relationship Type="http://schemas.openxmlformats.org/officeDocument/2006/relationships/hyperlink" Target="https://buzzerbeater.com/player/51528877/overview.aspx" TargetMode="External" Id="rId118" /><Relationship Type="http://schemas.openxmlformats.org/officeDocument/2006/relationships/hyperlink" Target="https://buzzerbeater.com/player/51510265/overview.aspx" TargetMode="External" Id="rId119" /><Relationship Type="http://schemas.openxmlformats.org/officeDocument/2006/relationships/hyperlink" Target="https://buzzerbeater.com/player/51210062/overview.aspx" TargetMode="External" Id="rId120" /><Relationship Type="http://schemas.openxmlformats.org/officeDocument/2006/relationships/hyperlink" Target="https://buzzerbeater.com/player/51528356/overview.aspx" TargetMode="External" Id="rId121" /><Relationship Type="http://schemas.openxmlformats.org/officeDocument/2006/relationships/hyperlink" Target="https://buzzerbeater.com/player/52171297/overview.aspx" TargetMode="External" Id="rId122" /><Relationship Type="http://schemas.openxmlformats.org/officeDocument/2006/relationships/hyperlink" Target="https://buzzerbeater.com/player/51660903/overview.aspx" TargetMode="External" Id="rId123" /><Relationship Type="http://schemas.openxmlformats.org/officeDocument/2006/relationships/hyperlink" Target="https://buzzerbeater.com/player/52592706/overview.aspx" TargetMode="External" Id="rId124" /><Relationship Type="http://schemas.openxmlformats.org/officeDocument/2006/relationships/hyperlink" Target="https://buzzerbeater.com/player/52438974/overview.aspx" TargetMode="External" Id="rId125" /><Relationship Type="http://schemas.openxmlformats.org/officeDocument/2006/relationships/hyperlink" Target="https://buzzerbeater.com/player/52498212/overview.aspx" TargetMode="External" Id="rId126" /><Relationship Type="http://schemas.openxmlformats.org/officeDocument/2006/relationships/hyperlink" Target="https://buzzerbeater.com/player/52333269/overview.aspx" TargetMode="External" Id="rId127" /><Relationship Type="http://schemas.openxmlformats.org/officeDocument/2006/relationships/hyperlink" Target="https://buzzerbeater.com/player/53693413/overview.aspx" TargetMode="External" Id="rId128" /><Relationship Type="http://schemas.openxmlformats.org/officeDocument/2006/relationships/hyperlink" Target="https://buzzerbeater.com/player/54231765/overview.aspx" TargetMode="External" Id="rId129" /><Relationship Type="http://schemas.openxmlformats.org/officeDocument/2006/relationships/hyperlink" Target="https://buzzerbeater.com/player/53919128/overview.aspx" TargetMode="External" Id="rId130" /><Relationship Type="http://schemas.openxmlformats.org/officeDocument/2006/relationships/hyperlink" Target="https://buzzerbeater.com/player/54003570/overview.aspx" TargetMode="External" Id="rId131" /><Relationship Type="http://schemas.openxmlformats.org/officeDocument/2006/relationships/hyperlink" Target="https://buzzerbeater.com/player/55581006/overview.aspx" TargetMode="External" Id="rId132" /><Relationship Type="http://schemas.openxmlformats.org/officeDocument/2006/relationships/hyperlink" Target="https://buzzerbeater.com/player/55640624/overview.aspx" TargetMode="External" Id="rId133" /><Relationship Type="http://schemas.openxmlformats.org/officeDocument/2006/relationships/hyperlink" Target="https://buzzerbeater.com/player/55720898/overview.aspx" TargetMode="External" Id="rId13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1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3" min="1" max="1"/>
    <col width="26" customWidth="1" style="13" min="2" max="2"/>
    <col width="11" customWidth="1" style="13" min="3" max="3"/>
    <col width="18" customWidth="1" style="13" min="4" max="4"/>
    <col width="9" customWidth="1" style="13" min="5" max="5"/>
    <col width="20" customWidth="1" style="13" min="6" max="6"/>
    <col width="13" customWidth="1" style="13" min="7" max="7"/>
    <col width="9" customWidth="1" style="13" min="8" max="10"/>
    <col width="12" customWidth="1" style="13" min="11" max="11"/>
    <col width="11" customWidth="1" style="13" min="12" max="12"/>
    <col width="12" customWidth="1" style="13" min="13" max="13"/>
    <col width="11" customWidth="1" style="13" min="14" max="14"/>
    <col width="12" customWidth="1" style="13" min="15" max="16"/>
    <col width="9" customWidth="1" style="13" min="17" max="17"/>
    <col width="8" customWidth="1" style="13" min="18" max="18"/>
    <col width="14" customWidth="1" style="14" min="19" max="19"/>
    <col width="14" customWidth="1" style="14" min="20" max="20"/>
    <col width="14" customWidth="1" style="14" min="21" max="21"/>
    <col width="14" customWidth="1" style="14" min="22" max="22"/>
    <col width="14" customWidth="1" style="14" min="23" max="23"/>
    <col width="14" customWidth="1" style="14" min="24" max="24"/>
    <col width="14" customWidth="1" style="14" min="25" max="25"/>
    <col width="14" customWidth="1" style="14" min="26" max="26"/>
    <col width="14" customWidth="1" style="14" min="27" max="27"/>
  </cols>
  <sheetData>
    <row r="1" ht="52.2" customHeight="1" s="14">
      <c r="A1" s="16" t="inlineStr">
        <is>
          <t>#</t>
        </is>
      </c>
      <c r="B1" s="16" t="inlineStr">
        <is>
          <t>Player</t>
        </is>
      </c>
      <c r="C1" s="16" t="inlineStr">
        <is>
          <t>Player ID</t>
        </is>
      </c>
      <c r="D1" s="16" t="inlineStr">
        <is>
          <t>Nationality</t>
        </is>
      </c>
      <c r="E1" s="16" t="inlineStr">
        <is>
          <t>Age when bought</t>
        </is>
      </c>
      <c r="F1" s="16" t="inlineStr">
        <is>
          <t>Age estimated?</t>
        </is>
      </c>
      <c r="G1" s="16" t="inlineStr">
        <is>
          <t>Potential</t>
        </is>
      </c>
      <c r="H1" s="16" t="inlineStr">
        <is>
          <t>Position</t>
        </is>
      </c>
      <c r="I1" s="16" t="inlineStr">
        <is>
          <t>Height (cm)</t>
        </is>
      </c>
      <c r="J1" s="16" t="inlineStr">
        <is>
          <t>Draft pick (of 48)</t>
        </is>
      </c>
      <c r="K1" s="16" t="inlineStr">
        <is>
          <t>Bought from drafting team?</t>
        </is>
      </c>
      <c r="L1" s="16" t="inlineStr">
        <is>
          <t>Bought on</t>
        </is>
      </c>
      <c r="M1" s="16" t="inlineStr">
        <is>
          <t>Buy price ($)</t>
        </is>
      </c>
      <c r="N1" s="16" t="inlineStr">
        <is>
          <t>Sold on</t>
        </is>
      </c>
      <c r="O1" s="16" t="inlineStr">
        <is>
          <t>Sale price ($)</t>
        </is>
      </c>
      <c r="P1" s="16" t="inlineStr">
        <is>
          <t>Profit ($)</t>
        </is>
      </c>
      <c r="Q1" s="16" t="inlineStr">
        <is>
          <t>Sale ÷ buy</t>
        </is>
      </c>
      <c r="R1" s="16" t="inlineStr">
        <is>
          <t>Days held</t>
        </is>
      </c>
      <c r="S1" s="16" t="inlineStr">
        <is>
          <t>Salary in season bought ($/wk)</t>
        </is>
      </c>
      <c r="T1" s="16" t="inlineStr">
        <is>
          <t>Salary in season sold ($/wk)</t>
        </is>
      </c>
      <c r="U1" s="16" t="inlineStr">
        <is>
          <t>Buy ÷ salary</t>
        </is>
      </c>
      <c r="V1" s="16" t="inlineStr">
        <is>
          <t>Sale ÷ salary</t>
        </is>
      </c>
      <c r="W1" s="16" t="inlineStr">
        <is>
          <t>Salary at 22 ($/wk)</t>
        </is>
      </c>
      <c r="X1" s="16" t="inlineStr">
        <is>
          <t>Salary at 24 ($/wk)</t>
        </is>
      </c>
      <c r="Y1" s="16" t="inlineStr">
        <is>
          <t>Salary at 26 ($/wk)</t>
        </is>
      </c>
      <c r="Z1" s="16" t="inlineStr">
        <is>
          <t>Highest salary ($/wk)</t>
        </is>
      </c>
      <c r="AA1" s="16" t="inlineStr">
        <is>
          <t>Last season with salary</t>
        </is>
      </c>
    </row>
    <row r="2" ht="15" customHeight="1" s="14">
      <c r="A2" s="17" t="n">
        <v>1</v>
      </c>
      <c r="B2" s="17" t="inlineStr">
        <is>
          <t>Ignacio Saracina</t>
        </is>
      </c>
      <c r="C2" s="18" t="n">
        <v>41691320</v>
      </c>
      <c r="D2" s="17" t="inlineStr">
        <is>
          <t>España</t>
        </is>
      </c>
      <c r="E2" s="17" t="n">
        <v>18</v>
      </c>
      <c r="F2" s="17" t="inlineStr">
        <is>
          <t>Yes (from draft season)</t>
        </is>
      </c>
      <c r="G2" s="17" t="inlineStr">
        <is>
          <t>superstar</t>
        </is>
      </c>
      <c r="H2" s="17" t="inlineStr">
        <is>
          <t>PG</t>
        </is>
      </c>
      <c r="I2" s="17" t="n">
        <v>188</v>
      </c>
      <c r="J2" s="17" t="n">
        <v>41</v>
      </c>
      <c r="K2" s="17" t="inlineStr">
        <is>
          <t>No</t>
        </is>
      </c>
      <c r="L2" s="19" t="n">
        <v>42811</v>
      </c>
      <c r="M2" s="20" t="n">
        <v>15000</v>
      </c>
      <c r="N2" s="19" t="n">
        <v>42871</v>
      </c>
      <c r="O2" s="20" t="n">
        <v>98000</v>
      </c>
      <c r="P2" s="20">
        <f>O2-M2</f>
        <v/>
      </c>
      <c r="Q2" s="21">
        <f>IF(M2=0,"",O2/M2)</f>
        <v/>
      </c>
      <c r="R2" s="22">
        <f>N2-L2</f>
        <v/>
      </c>
      <c r="S2" s="23" t="n">
        <v>3632</v>
      </c>
      <c r="T2" s="23" t="n">
        <v>3632</v>
      </c>
      <c r="U2" s="24">
        <f>M2/S2</f>
        <v/>
      </c>
      <c r="V2" s="24">
        <f>O2/S2</f>
        <v/>
      </c>
      <c r="W2" s="23" t="n"/>
      <c r="X2" s="23" t="n"/>
      <c r="Y2" s="23" t="n"/>
      <c r="Z2" s="23" t="n">
        <v>3934</v>
      </c>
      <c r="AA2" s="25" t="n">
        <v>40</v>
      </c>
    </row>
    <row r="3" ht="15" customHeight="1" s="14">
      <c r="A3" s="17" t="n">
        <v>2</v>
      </c>
      <c r="B3" s="17" t="inlineStr">
        <is>
          <t>Rauls Bersons</t>
        </is>
      </c>
      <c r="C3" s="18" t="n">
        <v>42106233</v>
      </c>
      <c r="D3" s="17" t="inlineStr">
        <is>
          <t>Latvija</t>
        </is>
      </c>
      <c r="E3" s="17" t="n">
        <v>18</v>
      </c>
      <c r="F3" s="17" t="inlineStr">
        <is>
          <t>Yes (from draft season)</t>
        </is>
      </c>
      <c r="G3" s="17" t="inlineStr">
        <is>
          <t>superstar</t>
        </is>
      </c>
      <c r="H3" s="17" t="inlineStr">
        <is>
          <t>PG</t>
        </is>
      </c>
      <c r="I3" s="17" t="n">
        <v>190</v>
      </c>
      <c r="J3" s="17" t="n">
        <v>26</v>
      </c>
      <c r="K3" s="17" t="inlineStr">
        <is>
          <t>No</t>
        </is>
      </c>
      <c r="L3" s="19" t="n">
        <v>42811</v>
      </c>
      <c r="M3" s="20" t="n">
        <v>1000</v>
      </c>
      <c r="N3" s="19" t="n">
        <v>42860</v>
      </c>
      <c r="O3" s="20" t="n">
        <v>121000</v>
      </c>
      <c r="P3" s="20">
        <f>O3-M3</f>
        <v/>
      </c>
      <c r="Q3" s="21">
        <f>IF(M3=0,"",O3/M3)</f>
        <v/>
      </c>
      <c r="R3" s="22">
        <f>N3-L3</f>
        <v/>
      </c>
      <c r="S3" s="23" t="n">
        <v>3705</v>
      </c>
      <c r="T3" s="23" t="n">
        <v>3705</v>
      </c>
      <c r="U3" s="24">
        <f>M3/S3</f>
        <v/>
      </c>
      <c r="V3" s="24">
        <f>O3/S3</f>
        <v/>
      </c>
      <c r="W3" s="23" t="n"/>
      <c r="X3" s="23" t="n"/>
      <c r="Y3" s="23" t="n"/>
      <c r="Z3" s="23" t="n">
        <v>3705</v>
      </c>
      <c r="AA3" s="25" t="n">
        <v>38</v>
      </c>
    </row>
    <row r="4" ht="15" customHeight="1" s="14">
      <c r="A4" s="17" t="n">
        <v>3</v>
      </c>
      <c r="B4" s="17" t="inlineStr">
        <is>
          <t>Przemysław Kosterski</t>
        </is>
      </c>
      <c r="C4" s="18" t="n">
        <v>41385714</v>
      </c>
      <c r="D4" s="17" t="inlineStr">
        <is>
          <t>Polska</t>
        </is>
      </c>
      <c r="E4" s="17" t="n">
        <v>19</v>
      </c>
      <c r="F4" s="17" t="inlineStr">
        <is>
          <t>Yes (from draft season)</t>
        </is>
      </c>
      <c r="G4" s="17" t="inlineStr">
        <is>
          <t>MVP</t>
        </is>
      </c>
      <c r="H4" s="17" t="inlineStr">
        <is>
          <t>PF</t>
        </is>
      </c>
      <c r="I4" s="17" t="n">
        <v>196</v>
      </c>
      <c r="J4" s="17" t="n">
        <v>4</v>
      </c>
      <c r="K4" s="17" t="inlineStr">
        <is>
          <t>No</t>
        </is>
      </c>
      <c r="L4" s="19" t="n">
        <v>42811</v>
      </c>
      <c r="M4" s="20" t="n">
        <v>4000</v>
      </c>
      <c r="N4" s="19" t="n">
        <v>42856</v>
      </c>
      <c r="O4" s="20" t="n">
        <v>175000</v>
      </c>
      <c r="P4" s="20">
        <f>O4-M4</f>
        <v/>
      </c>
      <c r="Q4" s="21">
        <f>IF(M4=0,"",O4/M4)</f>
        <v/>
      </c>
      <c r="R4" s="22">
        <f>N4-L4</f>
        <v/>
      </c>
      <c r="S4" s="23" t="n">
        <v>3314</v>
      </c>
      <c r="T4" s="23" t="n">
        <v>3314</v>
      </c>
      <c r="U4" s="24">
        <f>M4/S4</f>
        <v/>
      </c>
      <c r="V4" s="24">
        <f>O4/S4</f>
        <v/>
      </c>
      <c r="W4" s="23" t="n">
        <v>5644</v>
      </c>
      <c r="X4" s="23" t="n">
        <v>7023</v>
      </c>
      <c r="Y4" s="23" t="n">
        <v>8604</v>
      </c>
      <c r="Z4" s="23" t="n">
        <v>8630</v>
      </c>
      <c r="AA4" s="25" t="n">
        <v>46</v>
      </c>
    </row>
    <row r="5" ht="15" customHeight="1" s="14">
      <c r="A5" s="17" t="n">
        <v>4</v>
      </c>
      <c r="B5" s="17" t="inlineStr">
        <is>
          <t>Nikanor Liamaeu</t>
        </is>
      </c>
      <c r="C5" s="18" t="n">
        <v>42281787</v>
      </c>
      <c r="D5" s="17" t="inlineStr">
        <is>
          <t>Belarus</t>
        </is>
      </c>
      <c r="E5" s="17" t="n">
        <v>18</v>
      </c>
      <c r="F5" s="17" t="inlineStr">
        <is>
          <t>Yes (from draft season)</t>
        </is>
      </c>
      <c r="G5" s="17" t="inlineStr">
        <is>
          <t>superstar</t>
        </is>
      </c>
      <c r="H5" s="17" t="inlineStr">
        <is>
          <t>PG</t>
        </is>
      </c>
      <c r="I5" s="17" t="n">
        <v>196</v>
      </c>
      <c r="J5" s="17" t="n">
        <v>26</v>
      </c>
      <c r="K5" s="17" t="inlineStr">
        <is>
          <t>Yes</t>
        </is>
      </c>
      <c r="L5" s="19" t="n">
        <v>42811</v>
      </c>
      <c r="M5" s="20" t="n">
        <v>10000</v>
      </c>
      <c r="N5" s="19" t="n">
        <v>42847</v>
      </c>
      <c r="O5" s="20" t="n">
        <v>190800</v>
      </c>
      <c r="P5" s="20">
        <f>O5-M5</f>
        <v/>
      </c>
      <c r="Q5" s="21">
        <f>IF(M5=0,"",O5/M5)</f>
        <v/>
      </c>
      <c r="R5" s="22">
        <f>N5-L5</f>
        <v/>
      </c>
      <c r="S5" s="23" t="n">
        <v>4136</v>
      </c>
      <c r="T5" s="23" t="n">
        <v>4136</v>
      </c>
      <c r="U5" s="24">
        <f>M5/S5</f>
        <v/>
      </c>
      <c r="V5" s="24">
        <f>O5/S5</f>
        <v/>
      </c>
      <c r="W5" s="23" t="n">
        <v>9798</v>
      </c>
      <c r="X5" s="23" t="n">
        <v>10207</v>
      </c>
      <c r="Y5" s="23" t="n"/>
      <c r="Z5" s="23" t="n">
        <v>10312</v>
      </c>
      <c r="AA5" s="25" t="n">
        <v>45</v>
      </c>
    </row>
    <row r="6" ht="15" customHeight="1" s="14">
      <c r="A6" s="17" t="n">
        <v>5</v>
      </c>
      <c r="B6" s="17" t="inlineStr">
        <is>
          <t>Yiannis Mpaxevanakis</t>
        </is>
      </c>
      <c r="C6" s="18" t="n">
        <v>41862455</v>
      </c>
      <c r="D6" s="17" t="inlineStr">
        <is>
          <t>Hellas</t>
        </is>
      </c>
      <c r="E6" s="17" t="n">
        <v>18</v>
      </c>
      <c r="F6" s="17" t="inlineStr">
        <is>
          <t>Yes (from draft season)</t>
        </is>
      </c>
      <c r="G6" s="17" t="inlineStr">
        <is>
          <t>MVP</t>
        </is>
      </c>
      <c r="H6" s="17" t="inlineStr">
        <is>
          <t>PG</t>
        </is>
      </c>
      <c r="I6" s="17" t="n">
        <v>203</v>
      </c>
      <c r="J6" s="17" t="n">
        <v>14</v>
      </c>
      <c r="K6" s="17" t="inlineStr">
        <is>
          <t>Yes</t>
        </is>
      </c>
      <c r="L6" s="19" t="n">
        <v>42811</v>
      </c>
      <c r="M6" s="20" t="n">
        <v>34400</v>
      </c>
      <c r="N6" s="19" t="n">
        <v>42843</v>
      </c>
      <c r="O6" s="20" t="n">
        <v>372000</v>
      </c>
      <c r="P6" s="20">
        <f>O6-M6</f>
        <v/>
      </c>
      <c r="Q6" s="21">
        <f>IF(M6=0,"",O6/M6)</f>
        <v/>
      </c>
      <c r="R6" s="22">
        <f>N6-L6</f>
        <v/>
      </c>
      <c r="S6" s="23" t="n">
        <v>2088</v>
      </c>
      <c r="T6" s="23" t="n">
        <v>2088</v>
      </c>
      <c r="U6" s="24">
        <f>M6/S6</f>
        <v/>
      </c>
      <c r="V6" s="24">
        <f>O6/S6</f>
        <v/>
      </c>
      <c r="W6" s="23" t="n">
        <v>6393</v>
      </c>
      <c r="X6" s="23" t="n">
        <v>6912</v>
      </c>
      <c r="Y6" s="23" t="n">
        <v>7090</v>
      </c>
      <c r="Z6" s="23" t="n">
        <v>7090</v>
      </c>
      <c r="AA6" s="25" t="n">
        <v>46</v>
      </c>
    </row>
    <row r="7" ht="15" customHeight="1" s="14">
      <c r="A7" s="17" t="n">
        <v>6</v>
      </c>
      <c r="B7" s="17" t="inlineStr">
        <is>
          <t>Wenceslao Ortega</t>
        </is>
      </c>
      <c r="C7" s="18" t="n">
        <v>41704433</v>
      </c>
      <c r="D7" s="17" t="inlineStr">
        <is>
          <t>España</t>
        </is>
      </c>
      <c r="E7" s="17" t="n">
        <v>18</v>
      </c>
      <c r="F7" s="17" t="inlineStr">
        <is>
          <t>Yes (from draft season)</t>
        </is>
      </c>
      <c r="G7" s="17" t="inlineStr">
        <is>
          <t>hall of famer</t>
        </is>
      </c>
      <c r="H7" s="17" t="inlineStr">
        <is>
          <t>PG</t>
        </is>
      </c>
      <c r="I7" s="17" t="n">
        <v>190</v>
      </c>
      <c r="J7" s="17" t="n">
        <v>48</v>
      </c>
      <c r="K7" s="17" t="inlineStr">
        <is>
          <t>No</t>
        </is>
      </c>
      <c r="L7" s="19" t="n">
        <v>42812</v>
      </c>
      <c r="M7" s="20" t="n">
        <v>4000</v>
      </c>
      <c r="N7" s="19" t="n">
        <v>42848</v>
      </c>
      <c r="O7" s="20" t="n">
        <v>272000</v>
      </c>
      <c r="P7" s="20">
        <f>O7-M7</f>
        <v/>
      </c>
      <c r="Q7" s="21">
        <f>IF(M7=0,"",O7/M7)</f>
        <v/>
      </c>
      <c r="R7" s="22">
        <f>N7-L7</f>
        <v/>
      </c>
      <c r="S7" s="23" t="n">
        <v>2283</v>
      </c>
      <c r="T7" s="23" t="n">
        <v>2283</v>
      </c>
      <c r="U7" s="24">
        <f>M7/S7</f>
        <v/>
      </c>
      <c r="V7" s="24">
        <f>O7/S7</f>
        <v/>
      </c>
      <c r="W7" s="23" t="n">
        <v>2463</v>
      </c>
      <c r="X7" s="23" t="n">
        <v>2513</v>
      </c>
      <c r="Y7" s="23" t="n">
        <v>2501</v>
      </c>
      <c r="Z7" s="23" t="n">
        <v>2513</v>
      </c>
      <c r="AA7" s="25" t="n">
        <v>66</v>
      </c>
    </row>
    <row r="8" ht="15" customHeight="1" s="14">
      <c r="A8" s="17" t="n">
        <v>7</v>
      </c>
      <c r="B8" s="17" t="inlineStr">
        <is>
          <t>Austin Chamberlain</t>
        </is>
      </c>
      <c r="C8" s="18" t="n">
        <v>42352280</v>
      </c>
      <c r="D8" s="17" t="inlineStr">
        <is>
          <t>USA</t>
        </is>
      </c>
      <c r="E8" s="17" t="n">
        <v>18</v>
      </c>
      <c r="F8" s="17" t="inlineStr">
        <is>
          <t>Yes (from draft season)</t>
        </is>
      </c>
      <c r="G8" s="17" t="inlineStr">
        <is>
          <t>MVP</t>
        </is>
      </c>
      <c r="H8" s="17" t="inlineStr">
        <is>
          <t>C</t>
        </is>
      </c>
      <c r="I8" s="17" t="n">
        <v>193</v>
      </c>
      <c r="J8" s="17" t="n">
        <v>38</v>
      </c>
      <c r="K8" s="17" t="inlineStr">
        <is>
          <t>No</t>
        </is>
      </c>
      <c r="L8" s="19" t="n">
        <v>42908</v>
      </c>
      <c r="M8" s="20" t="n">
        <v>10000</v>
      </c>
      <c r="N8" s="19" t="n">
        <v>42938</v>
      </c>
      <c r="O8" s="20" t="n">
        <v>277500</v>
      </c>
      <c r="P8" s="20">
        <f>O8-M8</f>
        <v/>
      </c>
      <c r="Q8" s="21">
        <f>IF(M8=0,"",O8/M8)</f>
        <v/>
      </c>
      <c r="R8" s="22">
        <f>N8-L8</f>
        <v/>
      </c>
      <c r="S8" s="23" t="n">
        <v>3218</v>
      </c>
      <c r="T8" s="23" t="n">
        <v>3218</v>
      </c>
      <c r="U8" s="24">
        <f>M8/S8</f>
        <v/>
      </c>
      <c r="V8" s="24">
        <f>O8/S8</f>
        <v/>
      </c>
      <c r="W8" s="23" t="n"/>
      <c r="X8" s="23" t="n"/>
      <c r="Y8" s="23" t="n"/>
      <c r="Z8" s="23" t="n">
        <v>3218</v>
      </c>
      <c r="AA8" s="25" t="n">
        <v>40</v>
      </c>
    </row>
    <row r="9" ht="15" customHeight="1" s="14">
      <c r="A9" s="17" t="n">
        <v>8</v>
      </c>
      <c r="B9" s="17" t="inlineStr">
        <is>
          <t>Matthieu Meyer</t>
        </is>
      </c>
      <c r="C9" s="18" t="n">
        <v>42604416</v>
      </c>
      <c r="D9" s="17" t="inlineStr">
        <is>
          <t>France</t>
        </is>
      </c>
      <c r="E9" s="17" t="n">
        <v>18</v>
      </c>
      <c r="F9" s="17" t="inlineStr">
        <is>
          <t>Yes (from draft season)</t>
        </is>
      </c>
      <c r="G9" s="17" t="inlineStr">
        <is>
          <t>MVP</t>
        </is>
      </c>
      <c r="H9" s="17" t="inlineStr">
        <is>
          <t>PG</t>
        </is>
      </c>
      <c r="I9" s="17" t="n">
        <v>201</v>
      </c>
      <c r="J9" s="17" t="n">
        <v>42</v>
      </c>
      <c r="K9" s="17" t="inlineStr">
        <is>
          <t>Yes</t>
        </is>
      </c>
      <c r="L9" s="19" t="n">
        <v>42908</v>
      </c>
      <c r="M9" s="20" t="n">
        <v>10000</v>
      </c>
      <c r="N9" s="19" t="n">
        <v>42938</v>
      </c>
      <c r="O9" s="20" t="n">
        <v>198000</v>
      </c>
      <c r="P9" s="20">
        <f>O9-M9</f>
        <v/>
      </c>
      <c r="Q9" s="21">
        <f>IF(M9=0,"",O9/M9)</f>
        <v/>
      </c>
      <c r="R9" s="22">
        <f>N9-L9</f>
        <v/>
      </c>
      <c r="S9" s="23" t="n">
        <v>3131</v>
      </c>
      <c r="T9" s="23" t="n">
        <v>3131</v>
      </c>
      <c r="U9" s="24">
        <f>M9/S9</f>
        <v/>
      </c>
      <c r="V9" s="24">
        <f>O9/S9</f>
        <v/>
      </c>
      <c r="W9" s="23" t="n"/>
      <c r="X9" s="23" t="n"/>
      <c r="Y9" s="23" t="n"/>
      <c r="Z9" s="23" t="n">
        <v>3131</v>
      </c>
      <c r="AA9" s="25" t="n">
        <v>39</v>
      </c>
    </row>
    <row r="10" ht="15" customHeight="1" s="14">
      <c r="A10" s="17" t="n">
        <v>9</v>
      </c>
      <c r="B10" s="17" t="inlineStr">
        <is>
          <t>Thomas Berra</t>
        </is>
      </c>
      <c r="C10" s="18" t="n">
        <v>42601397</v>
      </c>
      <c r="D10" s="17" t="inlineStr">
        <is>
          <t>France</t>
        </is>
      </c>
      <c r="E10" s="17" t="n">
        <v>18</v>
      </c>
      <c r="F10" s="17" t="inlineStr">
        <is>
          <t>Yes (from draft season)</t>
        </is>
      </c>
      <c r="G10" s="17" t="inlineStr">
        <is>
          <t>hall of famer</t>
        </is>
      </c>
      <c r="H10" s="17" t="inlineStr">
        <is>
          <t>PG</t>
        </is>
      </c>
      <c r="I10" s="17" t="n">
        <v>201</v>
      </c>
      <c r="J10" s="17" t="n">
        <v>47</v>
      </c>
      <c r="K10" s="17" t="inlineStr">
        <is>
          <t>Yes</t>
        </is>
      </c>
      <c r="L10" s="19" t="n">
        <v>42908</v>
      </c>
      <c r="M10" s="20" t="n">
        <v>14000</v>
      </c>
      <c r="N10" s="19" t="n">
        <v>42954</v>
      </c>
      <c r="O10" s="20" t="n">
        <v>198000</v>
      </c>
      <c r="P10" s="20">
        <f>O10-M10</f>
        <v/>
      </c>
      <c r="Q10" s="21">
        <f>IF(M10=0,"",O10/M10)</f>
        <v/>
      </c>
      <c r="R10" s="22">
        <f>N10-L10</f>
        <v/>
      </c>
      <c r="S10" s="23" t="n">
        <v>2432</v>
      </c>
      <c r="T10" s="23" t="n">
        <v>2432</v>
      </c>
      <c r="U10" s="24">
        <f>M10/S10</f>
        <v/>
      </c>
      <c r="V10" s="24">
        <f>O10/S10</f>
        <v/>
      </c>
      <c r="W10" s="23" t="n"/>
      <c r="X10" s="23" t="n"/>
      <c r="Y10" s="23" t="n"/>
      <c r="Z10" s="23" t="n">
        <v>2432</v>
      </c>
      <c r="AA10" s="25" t="n">
        <v>41</v>
      </c>
    </row>
    <row r="11" ht="15" customHeight="1" s="14">
      <c r="A11" s="17" t="n">
        <v>10</v>
      </c>
      <c r="B11" s="17" t="inlineStr">
        <is>
          <t>Linas Treinius</t>
        </is>
      </c>
      <c r="C11" s="18" t="n">
        <v>42725108</v>
      </c>
      <c r="D11" s="17" t="inlineStr">
        <is>
          <t>Lietuva</t>
        </is>
      </c>
      <c r="E11" s="17" t="n">
        <v>18</v>
      </c>
      <c r="F11" s="17" t="inlineStr">
        <is>
          <t>Yes (from draft season)</t>
        </is>
      </c>
      <c r="G11" s="17" t="inlineStr">
        <is>
          <t>hall of famer</t>
        </is>
      </c>
      <c r="H11" s="17" t="inlineStr">
        <is>
          <t>PG</t>
        </is>
      </c>
      <c r="I11" s="17" t="n">
        <v>190</v>
      </c>
      <c r="J11" s="17" t="n">
        <v>5</v>
      </c>
      <c r="K11" s="17" t="inlineStr">
        <is>
          <t>Yes</t>
        </is>
      </c>
      <c r="L11" s="19" t="n">
        <v>42908</v>
      </c>
      <c r="M11" s="20" t="n">
        <v>2000</v>
      </c>
      <c r="N11" s="19" t="n">
        <v>42952</v>
      </c>
      <c r="O11" s="20" t="n">
        <v>187000</v>
      </c>
      <c r="P11" s="20">
        <f>O11-M11</f>
        <v/>
      </c>
      <c r="Q11" s="21">
        <f>IF(M11=0,"",O11/M11)</f>
        <v/>
      </c>
      <c r="R11" s="22">
        <f>N11-L11</f>
        <v/>
      </c>
      <c r="S11" s="23" t="n">
        <v>3201</v>
      </c>
      <c r="T11" s="23" t="n">
        <v>3201</v>
      </c>
      <c r="U11" s="24">
        <f>M11/S11</f>
        <v/>
      </c>
      <c r="V11" s="24">
        <f>O11/S11</f>
        <v/>
      </c>
      <c r="W11" s="23" t="n">
        <v>3557</v>
      </c>
      <c r="X11" s="23" t="n">
        <v>3557</v>
      </c>
      <c r="Y11" s="23" t="n">
        <v>3538</v>
      </c>
      <c r="Z11" s="23" t="n">
        <v>3557</v>
      </c>
      <c r="AA11" s="25" t="n">
        <v>53</v>
      </c>
    </row>
    <row r="12" ht="15" customHeight="1" s="14">
      <c r="A12" s="17" t="n">
        <v>11</v>
      </c>
      <c r="B12" s="17" t="inlineStr">
        <is>
          <t>Miroslav Vončina</t>
        </is>
      </c>
      <c r="C12" s="18" t="n">
        <v>43007337</v>
      </c>
      <c r="D12" s="17" t="inlineStr">
        <is>
          <t>Slovenija</t>
        </is>
      </c>
      <c r="E12" s="17" t="n">
        <v>18</v>
      </c>
      <c r="F12" s="17" t="inlineStr">
        <is>
          <t>Yes (from draft season)</t>
        </is>
      </c>
      <c r="G12" s="17" t="inlineStr">
        <is>
          <t>MVP</t>
        </is>
      </c>
      <c r="H12" s="17" t="inlineStr">
        <is>
          <t>PF</t>
        </is>
      </c>
      <c r="I12" s="17" t="n">
        <v>203</v>
      </c>
      <c r="J12" s="17" t="n">
        <v>16</v>
      </c>
      <c r="K12" s="17" t="inlineStr">
        <is>
          <t>No</t>
        </is>
      </c>
      <c r="L12" s="19" t="n">
        <v>42908</v>
      </c>
      <c r="M12" s="20" t="n">
        <v>1000</v>
      </c>
      <c r="N12" s="19" t="n">
        <v>42935</v>
      </c>
      <c r="O12" s="20" t="n">
        <v>175000</v>
      </c>
      <c r="P12" s="20">
        <f>O12-M12</f>
        <v/>
      </c>
      <c r="Q12" s="21">
        <f>IF(M12=0,"",O12/M12)</f>
        <v/>
      </c>
      <c r="R12" s="22">
        <f>N12-L12</f>
        <v/>
      </c>
      <c r="S12" s="23" t="n">
        <v>3627</v>
      </c>
      <c r="T12" s="23" t="n">
        <v>3627</v>
      </c>
      <c r="U12" s="24">
        <f>M12/S12</f>
        <v/>
      </c>
      <c r="V12" s="24">
        <f>O12/S12</f>
        <v/>
      </c>
      <c r="W12" s="23" t="n">
        <v>7084</v>
      </c>
      <c r="X12" s="23" t="n">
        <v>8141</v>
      </c>
      <c r="Y12" s="23" t="n">
        <v>9212</v>
      </c>
      <c r="Z12" s="23" t="n">
        <v>10145</v>
      </c>
      <c r="AA12" s="25" t="n">
        <v>54</v>
      </c>
    </row>
    <row r="13" ht="15" customHeight="1" s="14">
      <c r="A13" s="17" t="n">
        <v>12</v>
      </c>
      <c r="B13" s="17" t="inlineStr">
        <is>
          <t>Manuel Prada</t>
        </is>
      </c>
      <c r="C13" s="18" t="n">
        <v>42443844</v>
      </c>
      <c r="D13" s="17" t="inlineStr">
        <is>
          <t>España</t>
        </is>
      </c>
      <c r="E13" s="17" t="n">
        <v>18</v>
      </c>
      <c r="F13" s="17" t="inlineStr">
        <is>
          <t>Yes (from draft season)</t>
        </is>
      </c>
      <c r="G13" s="17" t="inlineStr">
        <is>
          <t>hall of famer</t>
        </is>
      </c>
      <c r="H13" s="17" t="inlineStr">
        <is>
          <t>PG</t>
        </is>
      </c>
      <c r="I13" s="17" t="n">
        <v>201</v>
      </c>
      <c r="J13" s="17" t="n">
        <v>3</v>
      </c>
      <c r="K13" s="17" t="inlineStr">
        <is>
          <t>Yes</t>
        </is>
      </c>
      <c r="L13" s="19" t="n">
        <v>42908</v>
      </c>
      <c r="M13" s="20" t="n">
        <v>52100</v>
      </c>
      <c r="N13" s="19" t="n">
        <v>42936</v>
      </c>
      <c r="O13" s="20" t="n">
        <v>375000</v>
      </c>
      <c r="P13" s="20">
        <f>O13-M13</f>
        <v/>
      </c>
      <c r="Q13" s="21">
        <f>IF(M13=0,"",O13/M13)</f>
        <v/>
      </c>
      <c r="R13" s="22">
        <f>N13-L13</f>
        <v/>
      </c>
      <c r="S13" s="23" t="n">
        <v>2924</v>
      </c>
      <c r="T13" s="23" t="n">
        <v>2924</v>
      </c>
      <c r="U13" s="24">
        <f>M13/S13</f>
        <v/>
      </c>
      <c r="V13" s="24">
        <f>O13/S13</f>
        <v/>
      </c>
      <c r="W13" s="23" t="n"/>
      <c r="X13" s="23" t="n"/>
      <c r="Y13" s="23" t="n"/>
      <c r="Z13" s="23" t="n">
        <v>3117</v>
      </c>
      <c r="AA13" s="25" t="n">
        <v>42</v>
      </c>
    </row>
    <row r="14" ht="15" customHeight="1" s="14">
      <c r="A14" s="17" t="n">
        <v>13</v>
      </c>
      <c r="B14" s="17" t="inlineStr">
        <is>
          <t>Sarolf Reinhardtshain</t>
        </is>
      </c>
      <c r="C14" s="18" t="n">
        <v>42943544</v>
      </c>
      <c r="D14" s="17" t="inlineStr">
        <is>
          <t>Polska</t>
        </is>
      </c>
      <c r="E14" s="17" t="n">
        <v>18</v>
      </c>
      <c r="F14" s="17" t="inlineStr">
        <is>
          <t>Yes (from draft season)</t>
        </is>
      </c>
      <c r="G14" s="17" t="inlineStr">
        <is>
          <t>MVP</t>
        </is>
      </c>
      <c r="H14" s="17" t="inlineStr">
        <is>
          <t>SF</t>
        </is>
      </c>
      <c r="I14" s="17" t="n">
        <v>185</v>
      </c>
      <c r="J14" s="17" t="n">
        <v>5</v>
      </c>
      <c r="K14" s="17" t="inlineStr">
        <is>
          <t>Yes</t>
        </is>
      </c>
      <c r="L14" s="19" t="n">
        <v>42910</v>
      </c>
      <c r="M14" s="20" t="n">
        <v>8000</v>
      </c>
      <c r="N14" s="19" t="n">
        <v>42962</v>
      </c>
      <c r="O14" s="20" t="n">
        <v>173400</v>
      </c>
      <c r="P14" s="20">
        <f>O14-M14</f>
        <v/>
      </c>
      <c r="Q14" s="21">
        <f>IF(M14=0,"",O14/M14)</f>
        <v/>
      </c>
      <c r="R14" s="22">
        <f>N14-L14</f>
        <v/>
      </c>
      <c r="S14" s="23" t="n">
        <v>3446</v>
      </c>
      <c r="T14" s="23" t="n">
        <v>3446</v>
      </c>
      <c r="U14" s="24">
        <f>M14/S14</f>
        <v/>
      </c>
      <c r="V14" s="24">
        <f>O14/S14</f>
        <v/>
      </c>
      <c r="W14" s="23" t="n">
        <v>3232</v>
      </c>
      <c r="X14" s="23" t="n">
        <v>3232</v>
      </c>
      <c r="Y14" s="23" t="n">
        <v>3215</v>
      </c>
      <c r="Z14" s="23" t="n">
        <v>3446</v>
      </c>
      <c r="AA14" s="25" t="n">
        <v>66</v>
      </c>
    </row>
    <row r="15" ht="15" customHeight="1" s="14">
      <c r="A15" s="17" t="n">
        <v>14</v>
      </c>
      <c r="B15" s="17" t="inlineStr">
        <is>
          <t>Jurgis Fedorecas</t>
        </is>
      </c>
      <c r="C15" s="18" t="n">
        <v>43517742</v>
      </c>
      <c r="D15" s="17" t="inlineStr">
        <is>
          <t>Lietuva</t>
        </is>
      </c>
      <c r="E15" s="17" t="n">
        <v>18</v>
      </c>
      <c r="F15" s="17" t="inlineStr">
        <is>
          <t>Yes (from draft season)</t>
        </is>
      </c>
      <c r="G15" s="17" t="inlineStr">
        <is>
          <t>hall of famer</t>
        </is>
      </c>
      <c r="H15" s="17" t="inlineStr">
        <is>
          <t>SG</t>
        </is>
      </c>
      <c r="I15" s="17" t="n">
        <v>188</v>
      </c>
      <c r="J15" s="17" t="n">
        <v>16</v>
      </c>
      <c r="K15" s="17" t="inlineStr">
        <is>
          <t>Yes</t>
        </is>
      </c>
      <c r="L15" s="19" t="n">
        <v>43007</v>
      </c>
      <c r="M15" s="20" t="n">
        <v>50000</v>
      </c>
      <c r="N15" s="19" t="n">
        <v>43031</v>
      </c>
      <c r="O15" s="20" t="n">
        <v>400000</v>
      </c>
      <c r="P15" s="20">
        <f>O15-M15</f>
        <v/>
      </c>
      <c r="Q15" s="21">
        <f>IF(M15=0,"",O15/M15)</f>
        <v/>
      </c>
      <c r="R15" s="22">
        <f>N15-L15</f>
        <v/>
      </c>
      <c r="S15" s="23" t="n">
        <v>3156</v>
      </c>
      <c r="T15" s="23" t="n">
        <v>3156</v>
      </c>
      <c r="U15" s="24">
        <f>M15/S15</f>
        <v/>
      </c>
      <c r="V15" s="24">
        <f>O15/S15</f>
        <v/>
      </c>
      <c r="W15" s="23" t="n"/>
      <c r="X15" s="23" t="n"/>
      <c r="Y15" s="23" t="n"/>
      <c r="Z15" s="23" t="n">
        <v>3156</v>
      </c>
      <c r="AA15" s="25" t="n">
        <v>40</v>
      </c>
    </row>
    <row r="16" ht="15" customHeight="1" s="14">
      <c r="A16" s="17" t="n">
        <v>15</v>
      </c>
      <c r="B16" s="17" t="inlineStr">
        <is>
          <t>Kevin Price</t>
        </is>
      </c>
      <c r="C16" s="18" t="n">
        <v>43143179</v>
      </c>
      <c r="D16" s="17" t="inlineStr">
        <is>
          <t>USA</t>
        </is>
      </c>
      <c r="E16" s="17" t="n">
        <v>18</v>
      </c>
      <c r="F16" s="17" t="inlineStr">
        <is>
          <t>Yes (from draft season)</t>
        </is>
      </c>
      <c r="G16" s="17" t="inlineStr">
        <is>
          <t>MVP</t>
        </is>
      </c>
      <c r="H16" s="17" t="inlineStr">
        <is>
          <t>SF</t>
        </is>
      </c>
      <c r="I16" s="17" t="n">
        <v>203</v>
      </c>
      <c r="J16" s="17" t="n">
        <v>43</v>
      </c>
      <c r="K16" s="17" t="inlineStr">
        <is>
          <t>No</t>
        </is>
      </c>
      <c r="L16" s="19" t="n">
        <v>43007</v>
      </c>
      <c r="M16" s="20" t="n">
        <v>3000</v>
      </c>
      <c r="N16" s="19" t="n">
        <v>43032</v>
      </c>
      <c r="O16" s="20" t="n">
        <v>272000</v>
      </c>
      <c r="P16" s="20">
        <f>O16-M16</f>
        <v/>
      </c>
      <c r="Q16" s="21">
        <f>IF(M16=0,"",O16/M16)</f>
        <v/>
      </c>
      <c r="R16" s="22">
        <f>N16-L16</f>
        <v/>
      </c>
      <c r="S16" s="23" t="n">
        <v>2931</v>
      </c>
      <c r="T16" s="23" t="n">
        <v>2931</v>
      </c>
      <c r="U16" s="24">
        <f>M16/S16</f>
        <v/>
      </c>
      <c r="V16" s="24">
        <f>O16/S16</f>
        <v/>
      </c>
      <c r="W16" s="23" t="n"/>
      <c r="X16" s="23" t="n"/>
      <c r="Y16" s="23" t="n"/>
      <c r="Z16" s="23" t="n">
        <v>2931</v>
      </c>
      <c r="AA16" s="25" t="n">
        <v>42</v>
      </c>
    </row>
    <row r="17" ht="15" customHeight="1" s="14">
      <c r="A17" s="17" t="n">
        <v>16</v>
      </c>
      <c r="B17" s="17" t="inlineStr">
        <is>
          <t>Brett Barnes</t>
        </is>
      </c>
      <c r="C17" s="18" t="n">
        <v>43866699</v>
      </c>
      <c r="D17" s="17" t="inlineStr">
        <is>
          <t>Utopia</t>
        </is>
      </c>
      <c r="E17" s="17" t="n">
        <v>18</v>
      </c>
      <c r="F17" s="17" t="inlineStr">
        <is>
          <t>Yes (from draft season)</t>
        </is>
      </c>
      <c r="G17" s="17" t="inlineStr">
        <is>
          <t>superstar</t>
        </is>
      </c>
      <c r="H17" s="17" t="inlineStr">
        <is>
          <t>SF</t>
        </is>
      </c>
      <c r="I17" s="17" t="n">
        <v>188</v>
      </c>
      <c r="J17" s="17" t="n">
        <v>9</v>
      </c>
      <c r="K17" s="17" t="inlineStr">
        <is>
          <t>No</t>
        </is>
      </c>
      <c r="L17" s="19" t="n">
        <v>43007</v>
      </c>
      <c r="M17" s="20" t="n">
        <v>17000</v>
      </c>
      <c r="N17" s="19" t="n">
        <v>43054</v>
      </c>
      <c r="O17" s="20" t="n">
        <v>165000</v>
      </c>
      <c r="P17" s="20">
        <f>O17-M17</f>
        <v/>
      </c>
      <c r="Q17" s="21">
        <f>IF(M17=0,"",O17/M17)</f>
        <v/>
      </c>
      <c r="R17" s="22">
        <f>N17-L17</f>
        <v/>
      </c>
      <c r="S17" s="23" t="n">
        <v>2819</v>
      </c>
      <c r="T17" s="23" t="n">
        <v>2819</v>
      </c>
      <c r="U17" s="24">
        <f>M17/S17</f>
        <v/>
      </c>
      <c r="V17" s="24">
        <f>O17/S17</f>
        <v/>
      </c>
      <c r="W17" s="23" t="n">
        <v>5717</v>
      </c>
      <c r="X17" s="23" t="n">
        <v>7690</v>
      </c>
      <c r="Y17" s="23" t="n"/>
      <c r="Z17" s="23" t="n">
        <v>7690</v>
      </c>
      <c r="AA17" s="25" t="n">
        <v>46</v>
      </c>
    </row>
    <row r="18" ht="15" customHeight="1" s="14">
      <c r="A18" s="17" t="n">
        <v>17</v>
      </c>
      <c r="B18" s="17" t="inlineStr">
        <is>
          <t>Kosmas Valsamakis</t>
        </is>
      </c>
      <c r="C18" s="18" t="n">
        <v>43437279</v>
      </c>
      <c r="D18" s="17" t="inlineStr">
        <is>
          <t>Hellas</t>
        </is>
      </c>
      <c r="E18" s="17" t="n">
        <v>18</v>
      </c>
      <c r="F18" s="17" t="inlineStr">
        <is>
          <t>Yes (from draft season)</t>
        </is>
      </c>
      <c r="G18" s="17" t="inlineStr">
        <is>
          <t>hall of famer</t>
        </is>
      </c>
      <c r="H18" s="17" t="inlineStr">
        <is>
          <t>PF</t>
        </is>
      </c>
      <c r="I18" s="17" t="n">
        <v>193</v>
      </c>
      <c r="J18" s="17" t="n">
        <v>14</v>
      </c>
      <c r="K18" s="17" t="inlineStr">
        <is>
          <t>Yes</t>
        </is>
      </c>
      <c r="L18" s="19" t="n">
        <v>43007</v>
      </c>
      <c r="M18" s="20" t="n">
        <v>2000</v>
      </c>
      <c r="N18" s="19" t="n">
        <v>43028</v>
      </c>
      <c r="O18" s="20" t="n">
        <v>198000</v>
      </c>
      <c r="P18" s="20">
        <f>O18-M18</f>
        <v/>
      </c>
      <c r="Q18" s="21">
        <f>IF(M18=0,"",O18/M18)</f>
        <v/>
      </c>
      <c r="R18" s="22">
        <f>N18-L18</f>
        <v/>
      </c>
      <c r="S18" s="23" t="n">
        <v>3439</v>
      </c>
      <c r="T18" s="23" t="n">
        <v>3439</v>
      </c>
      <c r="U18" s="24">
        <f>M18/S18</f>
        <v/>
      </c>
      <c r="V18" s="24">
        <f>O18/S18</f>
        <v/>
      </c>
      <c r="W18" s="23" t="n">
        <v>9598</v>
      </c>
      <c r="X18" s="23" t="n">
        <v>11843</v>
      </c>
      <c r="Y18" s="23" t="n">
        <v>12792</v>
      </c>
      <c r="Z18" s="23" t="n">
        <v>14306</v>
      </c>
      <c r="AA18" s="25" t="n">
        <v>59</v>
      </c>
    </row>
    <row r="19" ht="15" customHeight="1" s="14">
      <c r="A19" s="17" t="n">
        <v>18</v>
      </c>
      <c r="B19" s="17" t="inlineStr">
        <is>
          <t>Ivan Morales</t>
        </is>
      </c>
      <c r="C19" s="18" t="n">
        <v>43840973</v>
      </c>
      <c r="D19" s="17" t="inlineStr">
        <is>
          <t>Uruguay</t>
        </is>
      </c>
      <c r="E19" s="17" t="n">
        <v>18</v>
      </c>
      <c r="F19" s="17" t="inlineStr">
        <is>
          <t>Yes (from draft season)</t>
        </is>
      </c>
      <c r="G19" s="17" t="inlineStr">
        <is>
          <t>hall of famer</t>
        </is>
      </c>
      <c r="H19" s="17" t="inlineStr">
        <is>
          <t>C</t>
        </is>
      </c>
      <c r="I19" s="17" t="n">
        <v>203</v>
      </c>
      <c r="J19" s="17" t="n">
        <v>14</v>
      </c>
      <c r="K19" s="17" t="inlineStr">
        <is>
          <t>No</t>
        </is>
      </c>
      <c r="L19" s="19" t="n">
        <v>43009</v>
      </c>
      <c r="M19" s="20" t="n">
        <v>50000</v>
      </c>
      <c r="N19" s="19" t="n">
        <v>43029</v>
      </c>
      <c r="O19" s="20" t="n">
        <v>390300</v>
      </c>
      <c r="P19" s="20">
        <f>O19-M19</f>
        <v/>
      </c>
      <c r="Q19" s="21">
        <f>IF(M19=0,"",O19/M19)</f>
        <v/>
      </c>
      <c r="R19" s="22">
        <f>N19-L19</f>
        <v/>
      </c>
      <c r="S19" s="23" t="n">
        <v>3364</v>
      </c>
      <c r="T19" s="23" t="n">
        <v>3364</v>
      </c>
      <c r="U19" s="24">
        <f>M19/S19</f>
        <v/>
      </c>
      <c r="V19" s="24">
        <f>O19/S19</f>
        <v/>
      </c>
      <c r="W19" s="23" t="n">
        <v>7515</v>
      </c>
      <c r="X19" s="23" t="n">
        <v>9357</v>
      </c>
      <c r="Y19" s="23" t="n">
        <v>11406</v>
      </c>
      <c r="Z19" s="23" t="n">
        <v>13940</v>
      </c>
      <c r="AA19" s="25" t="n">
        <v>51</v>
      </c>
    </row>
    <row r="20" ht="15" customHeight="1" s="14">
      <c r="A20" s="17" t="n">
        <v>19</v>
      </c>
      <c r="B20" s="17" t="inlineStr">
        <is>
          <t>Crispino Cruz Neto</t>
        </is>
      </c>
      <c r="C20" s="18" t="n">
        <v>43200221</v>
      </c>
      <c r="D20" s="17" t="inlineStr">
        <is>
          <t>Brasil</t>
        </is>
      </c>
      <c r="E20" s="17" t="n">
        <v>18</v>
      </c>
      <c r="F20" s="17" t="inlineStr">
        <is>
          <t>Yes (from draft season)</t>
        </is>
      </c>
      <c r="G20" s="17" t="inlineStr">
        <is>
          <t>MVP</t>
        </is>
      </c>
      <c r="H20" s="17" t="inlineStr">
        <is>
          <t>C</t>
        </is>
      </c>
      <c r="I20" s="17" t="n">
        <v>188</v>
      </c>
      <c r="J20" s="17" t="n">
        <v>27</v>
      </c>
      <c r="K20" s="17" t="inlineStr">
        <is>
          <t>No</t>
        </is>
      </c>
      <c r="L20" s="19" t="n">
        <v>43010</v>
      </c>
      <c r="M20" s="20" t="n">
        <v>5000</v>
      </c>
      <c r="N20" s="19" t="n">
        <v>43073</v>
      </c>
      <c r="O20" s="20" t="n">
        <v>137800</v>
      </c>
      <c r="P20" s="20">
        <f>O20-M20</f>
        <v/>
      </c>
      <c r="Q20" s="21">
        <f>IF(M20=0,"",O20/M20)</f>
        <v/>
      </c>
      <c r="R20" s="22">
        <f>N20-L20</f>
        <v/>
      </c>
      <c r="S20" s="23" t="n">
        <v>2783</v>
      </c>
      <c r="T20" s="23" t="n">
        <v>2783</v>
      </c>
      <c r="U20" s="24">
        <f>M20/S20</f>
        <v/>
      </c>
      <c r="V20" s="24">
        <f>O20/S20</f>
        <v/>
      </c>
      <c r="W20" s="23" t="n"/>
      <c r="X20" s="23" t="n"/>
      <c r="Y20" s="23" t="n"/>
      <c r="Z20" s="23" t="n">
        <v>2783</v>
      </c>
      <c r="AA20" s="25" t="n">
        <v>41</v>
      </c>
    </row>
    <row r="21" ht="15" customHeight="1" s="14">
      <c r="A21" s="17" t="n">
        <v>20</v>
      </c>
      <c r="B21" s="17" t="inlineStr">
        <is>
          <t>Kostakis Vrontakis</t>
        </is>
      </c>
      <c r="C21" s="18" t="n">
        <v>43437820</v>
      </c>
      <c r="D21" s="17" t="inlineStr">
        <is>
          <t>Hellas</t>
        </is>
      </c>
      <c r="E21" s="17" t="n">
        <v>18</v>
      </c>
      <c r="F21" s="17" t="inlineStr">
        <is>
          <t>Yes (from draft season)</t>
        </is>
      </c>
      <c r="G21" s="17" t="inlineStr">
        <is>
          <t>hall of famer</t>
        </is>
      </c>
      <c r="H21" s="17" t="inlineStr">
        <is>
          <t>SF</t>
        </is>
      </c>
      <c r="I21" s="17" t="n">
        <v>190</v>
      </c>
      <c r="J21" s="17" t="n">
        <v>30</v>
      </c>
      <c r="K21" s="17" t="inlineStr">
        <is>
          <t>Yes</t>
        </is>
      </c>
      <c r="L21" s="19" t="n">
        <v>43010</v>
      </c>
      <c r="M21" s="20" t="n">
        <v>12000</v>
      </c>
      <c r="N21" s="19" t="n">
        <v>43080</v>
      </c>
      <c r="O21" s="20" t="n">
        <v>165000</v>
      </c>
      <c r="P21" s="20">
        <f>O21-M21</f>
        <v/>
      </c>
      <c r="Q21" s="21">
        <f>IF(M21=0,"",O21/M21)</f>
        <v/>
      </c>
      <c r="R21" s="22">
        <f>N21-L21</f>
        <v/>
      </c>
      <c r="S21" s="23" t="n">
        <v>2817</v>
      </c>
      <c r="T21" s="23" t="n">
        <v>2817</v>
      </c>
      <c r="U21" s="24">
        <f>M21/S21</f>
        <v/>
      </c>
      <c r="V21" s="24">
        <f>O21/S21</f>
        <v/>
      </c>
      <c r="W21" s="23" t="n">
        <v>3137</v>
      </c>
      <c r="X21" s="23" t="n">
        <v>3260</v>
      </c>
      <c r="Y21" s="23" t="n"/>
      <c r="Z21" s="23" t="n">
        <v>3260</v>
      </c>
      <c r="AA21" s="25" t="n">
        <v>46</v>
      </c>
    </row>
    <row r="22" ht="15" customHeight="1" s="14">
      <c r="A22" s="17" t="n">
        <v>21</v>
      </c>
      <c r="B22" s="17" t="inlineStr">
        <is>
          <t>Henryk Szwajka</t>
        </is>
      </c>
      <c r="C22" s="18" t="n">
        <v>43733059</v>
      </c>
      <c r="D22" s="17" t="inlineStr">
        <is>
          <t>Polska</t>
        </is>
      </c>
      <c r="E22" s="17" t="n">
        <v>18</v>
      </c>
      <c r="F22" s="17" t="inlineStr">
        <is>
          <t>Yes (from draft season)</t>
        </is>
      </c>
      <c r="G22" s="17" t="inlineStr">
        <is>
          <t>hall of famer</t>
        </is>
      </c>
      <c r="H22" s="17" t="inlineStr">
        <is>
          <t>PG</t>
        </is>
      </c>
      <c r="I22" s="17" t="n">
        <v>190</v>
      </c>
      <c r="J22" s="17" t="n">
        <v>22</v>
      </c>
      <c r="K22" s="17" t="inlineStr">
        <is>
          <t>Yes</t>
        </is>
      </c>
      <c r="L22" s="19" t="n">
        <v>43010</v>
      </c>
      <c r="M22" s="20" t="n">
        <v>33333</v>
      </c>
      <c r="N22" s="19" t="n">
        <v>43066</v>
      </c>
      <c r="O22" s="20" t="n">
        <v>195000</v>
      </c>
      <c r="P22" s="20">
        <f>O22-M22</f>
        <v/>
      </c>
      <c r="Q22" s="21">
        <f>IF(M22=0,"",O22/M22)</f>
        <v/>
      </c>
      <c r="R22" s="22">
        <f>N22-L22</f>
        <v/>
      </c>
      <c r="S22" s="23" t="n">
        <v>2989</v>
      </c>
      <c r="T22" s="23" t="n">
        <v>2989</v>
      </c>
      <c r="U22" s="24">
        <f>M22/S22</f>
        <v/>
      </c>
      <c r="V22" s="24">
        <f>O22/S22</f>
        <v/>
      </c>
      <c r="W22" s="23" t="n">
        <v>4822</v>
      </c>
      <c r="X22" s="23" t="n">
        <v>5888</v>
      </c>
      <c r="Y22" s="23" t="n">
        <v>5894</v>
      </c>
      <c r="Z22" s="23" t="n">
        <v>6141</v>
      </c>
      <c r="AA22" s="25" t="n">
        <v>54</v>
      </c>
    </row>
    <row r="23" ht="15" customHeight="1" s="14">
      <c r="A23" s="17" t="n">
        <v>22</v>
      </c>
      <c r="B23" s="17" t="inlineStr">
        <is>
          <t>Miquel Canal</t>
        </is>
      </c>
      <c r="C23" s="18" t="n">
        <v>44059881</v>
      </c>
      <c r="D23" s="17" t="inlineStr">
        <is>
          <t>España</t>
        </is>
      </c>
      <c r="E23" s="17" t="n">
        <v>18</v>
      </c>
      <c r="F23" s="17" t="inlineStr">
        <is>
          <t>Yes (from draft season)</t>
        </is>
      </c>
      <c r="G23" s="17" t="inlineStr">
        <is>
          <t>MVP</t>
        </is>
      </c>
      <c r="H23" s="17" t="inlineStr">
        <is>
          <t>SF</t>
        </is>
      </c>
      <c r="I23" s="17" t="n">
        <v>193</v>
      </c>
      <c r="J23" s="17" t="n">
        <v>31</v>
      </c>
      <c r="K23" s="17" t="inlineStr">
        <is>
          <t>No</t>
        </is>
      </c>
      <c r="L23" s="19" t="n">
        <v>43104</v>
      </c>
      <c r="M23" s="20" t="n">
        <v>11000</v>
      </c>
      <c r="N23" s="19" t="n">
        <v>43149</v>
      </c>
      <c r="O23" s="20" t="n">
        <v>175000</v>
      </c>
      <c r="P23" s="20">
        <f>O23-M23</f>
        <v/>
      </c>
      <c r="Q23" s="21">
        <f>IF(M23=0,"",O23/M23)</f>
        <v/>
      </c>
      <c r="R23" s="22">
        <f>N23-L23</f>
        <v/>
      </c>
      <c r="S23" s="23" t="n">
        <v>3551</v>
      </c>
      <c r="T23" s="23" t="n">
        <v>3551</v>
      </c>
      <c r="U23" s="24">
        <f>M23/S23</f>
        <v/>
      </c>
      <c r="V23" s="24">
        <f>O23/S23</f>
        <v/>
      </c>
      <c r="W23" s="23" t="n">
        <v>5295</v>
      </c>
      <c r="X23" s="23" t="n">
        <v>5576</v>
      </c>
      <c r="Y23" s="23" t="n">
        <v>5993</v>
      </c>
      <c r="Z23" s="23" t="n">
        <v>6417</v>
      </c>
      <c r="AA23" s="25" t="n">
        <v>58</v>
      </c>
    </row>
    <row r="24" ht="15" customHeight="1" s="14">
      <c r="A24" s="17" t="n">
        <v>23</v>
      </c>
      <c r="B24" s="17" t="inlineStr">
        <is>
          <t>Paolo Alvisi</t>
        </is>
      </c>
      <c r="C24" s="18" t="n">
        <v>44147373</v>
      </c>
      <c r="D24" s="17" t="inlineStr">
        <is>
          <t>Italia</t>
        </is>
      </c>
      <c r="E24" s="17" t="n">
        <v>18</v>
      </c>
      <c r="F24" s="17" t="inlineStr">
        <is>
          <t>Yes (from draft season)</t>
        </is>
      </c>
      <c r="G24" s="17" t="inlineStr">
        <is>
          <t>hall of famer</t>
        </is>
      </c>
      <c r="H24" s="17" t="inlineStr">
        <is>
          <t>SF</t>
        </is>
      </c>
      <c r="I24" s="17" t="n">
        <v>203</v>
      </c>
      <c r="J24" s="17" t="n">
        <v>19</v>
      </c>
      <c r="K24" s="17" t="inlineStr">
        <is>
          <t>Yes</t>
        </is>
      </c>
      <c r="L24" s="19" t="n">
        <v>43105</v>
      </c>
      <c r="M24" s="20" t="n">
        <v>22222</v>
      </c>
      <c r="N24" s="19" t="n">
        <v>43147</v>
      </c>
      <c r="O24" s="20" t="n">
        <v>187000</v>
      </c>
      <c r="P24" s="20">
        <f>O24-M24</f>
        <v/>
      </c>
      <c r="Q24" s="21">
        <f>IF(M24=0,"",O24/M24)</f>
        <v/>
      </c>
      <c r="R24" s="22">
        <f>N24-L24</f>
        <v/>
      </c>
      <c r="S24" s="23" t="n">
        <v>2931</v>
      </c>
      <c r="T24" s="23" t="n">
        <v>2931</v>
      </c>
      <c r="U24" s="24">
        <f>M24/S24</f>
        <v/>
      </c>
      <c r="V24" s="24">
        <f>O24/S24</f>
        <v/>
      </c>
      <c r="W24" s="23" t="n"/>
      <c r="X24" s="23" t="n"/>
      <c r="Y24" s="23" t="n"/>
      <c r="Z24" s="23" t="n">
        <v>4444</v>
      </c>
      <c r="AA24" s="25" t="n">
        <v>44</v>
      </c>
    </row>
    <row r="25" ht="15" customHeight="1" s="14">
      <c r="A25" s="17" t="n">
        <v>24</v>
      </c>
      <c r="B25" s="17" t="inlineStr">
        <is>
          <t>Yiorgos Kokkinias</t>
        </is>
      </c>
      <c r="C25" s="18" t="n">
        <v>44229075</v>
      </c>
      <c r="D25" s="17" t="inlineStr">
        <is>
          <t>Hellas</t>
        </is>
      </c>
      <c r="E25" s="17" t="n">
        <v>18</v>
      </c>
      <c r="F25" s="17" t="inlineStr">
        <is>
          <t>Yes (from draft season)</t>
        </is>
      </c>
      <c r="G25" s="17" t="inlineStr">
        <is>
          <t>MVP</t>
        </is>
      </c>
      <c r="H25" s="17" t="inlineStr">
        <is>
          <t>PG</t>
        </is>
      </c>
      <c r="I25" s="17" t="n">
        <v>193</v>
      </c>
      <c r="J25" s="17" t="n">
        <v>25</v>
      </c>
      <c r="K25" s="17" t="inlineStr">
        <is>
          <t>Yes</t>
        </is>
      </c>
      <c r="L25" s="19" t="n">
        <v>43105</v>
      </c>
      <c r="M25" s="20" t="n">
        <v>2000</v>
      </c>
      <c r="N25" s="19" t="n">
        <v>43167</v>
      </c>
      <c r="O25" s="20" t="n">
        <v>232000</v>
      </c>
      <c r="P25" s="20">
        <f>O25-M25</f>
        <v/>
      </c>
      <c r="Q25" s="21">
        <f>IF(M25=0,"",O25/M25)</f>
        <v/>
      </c>
      <c r="R25" s="22">
        <f>N25-L25</f>
        <v/>
      </c>
      <c r="S25" s="23" t="n">
        <v>3459</v>
      </c>
      <c r="T25" s="23" t="n">
        <v>3459</v>
      </c>
      <c r="U25" s="24">
        <f>M25/S25</f>
        <v/>
      </c>
      <c r="V25" s="24">
        <f>O25/S25</f>
        <v/>
      </c>
      <c r="W25" s="23" t="n">
        <v>9837</v>
      </c>
      <c r="X25" s="23" t="n">
        <v>32503</v>
      </c>
      <c r="Y25" s="23" t="n">
        <v>33473</v>
      </c>
      <c r="Z25" s="23" t="n">
        <v>35310</v>
      </c>
      <c r="AA25" s="25" t="n">
        <v>54</v>
      </c>
    </row>
    <row r="26" ht="15" customHeight="1" s="14">
      <c r="A26" s="17" t="n">
        <v>25</v>
      </c>
      <c r="B26" s="17" t="inlineStr">
        <is>
          <t>Pascual Vera</t>
        </is>
      </c>
      <c r="C26" s="18" t="n">
        <v>44633410</v>
      </c>
      <c r="D26" s="17" t="inlineStr">
        <is>
          <t>Uruguay</t>
        </is>
      </c>
      <c r="E26" s="17" t="n">
        <v>18</v>
      </c>
      <c r="F26" s="17" t="inlineStr">
        <is>
          <t>Yes (from draft season)</t>
        </is>
      </c>
      <c r="G26" s="17" t="inlineStr">
        <is>
          <t>hall of famer</t>
        </is>
      </c>
      <c r="H26" s="17" t="inlineStr">
        <is>
          <t>PF</t>
        </is>
      </c>
      <c r="I26" s="17" t="n">
        <v>201</v>
      </c>
      <c r="J26" s="17" t="n">
        <v>32</v>
      </c>
      <c r="K26" s="17" t="inlineStr">
        <is>
          <t>No</t>
        </is>
      </c>
      <c r="L26" s="19" t="n">
        <v>43105</v>
      </c>
      <c r="M26" s="20" t="n">
        <v>33333</v>
      </c>
      <c r="N26" s="19" t="n">
        <v>43145</v>
      </c>
      <c r="O26" s="20" t="n">
        <v>257100</v>
      </c>
      <c r="P26" s="20">
        <f>O26-M26</f>
        <v/>
      </c>
      <c r="Q26" s="21">
        <f>IF(M26=0,"",O26/M26)</f>
        <v/>
      </c>
      <c r="R26" s="22">
        <f>N26-L26</f>
        <v/>
      </c>
      <c r="S26" s="23" t="n">
        <v>3461</v>
      </c>
      <c r="T26" s="23" t="n">
        <v>3461</v>
      </c>
      <c r="U26" s="24">
        <f>M26/S26</f>
        <v/>
      </c>
      <c r="V26" s="24">
        <f>O26/S26</f>
        <v/>
      </c>
      <c r="W26" s="23" t="n">
        <v>5071</v>
      </c>
      <c r="X26" s="23" t="n">
        <v>6337</v>
      </c>
      <c r="Y26" s="23" t="n">
        <v>6677</v>
      </c>
      <c r="Z26" s="23" t="n">
        <v>6951</v>
      </c>
      <c r="AA26" s="25" t="n">
        <v>56</v>
      </c>
    </row>
    <row r="27" ht="15" customHeight="1" s="14">
      <c r="A27" s="17" t="n">
        <v>26</v>
      </c>
      <c r="B27" s="17" t="inlineStr">
        <is>
          <t>Kostakis Aidonis</t>
        </is>
      </c>
      <c r="C27" s="18" t="n">
        <v>44226559</v>
      </c>
      <c r="D27" s="17" t="inlineStr">
        <is>
          <t>Hellas</t>
        </is>
      </c>
      <c r="E27" s="17" t="n">
        <v>18</v>
      </c>
      <c r="F27" s="17" t="inlineStr">
        <is>
          <t>Yes (from draft season)</t>
        </is>
      </c>
      <c r="G27" s="17" t="inlineStr">
        <is>
          <t>hall of famer</t>
        </is>
      </c>
      <c r="H27" s="17" t="inlineStr">
        <is>
          <t>SF</t>
        </is>
      </c>
      <c r="I27" s="17" t="n">
        <v>201</v>
      </c>
      <c r="J27" s="17" t="n">
        <v>4</v>
      </c>
      <c r="K27" s="17" t="inlineStr">
        <is>
          <t>Yes</t>
        </is>
      </c>
      <c r="L27" s="19" t="n">
        <v>43107</v>
      </c>
      <c r="M27" s="20" t="n">
        <v>51000</v>
      </c>
      <c r="N27" s="19" t="n">
        <v>43149</v>
      </c>
      <c r="O27" s="20" t="n">
        <v>272000</v>
      </c>
      <c r="P27" s="20">
        <f>O27-M27</f>
        <v/>
      </c>
      <c r="Q27" s="21">
        <f>IF(M27=0,"",O27/M27)</f>
        <v/>
      </c>
      <c r="R27" s="22">
        <f>N27-L27</f>
        <v/>
      </c>
      <c r="S27" s="23" t="n">
        <v>3818</v>
      </c>
      <c r="T27" s="23" t="n">
        <v>3818</v>
      </c>
      <c r="U27" s="24">
        <f>M27/S27</f>
        <v/>
      </c>
      <c r="V27" s="24">
        <f>O27/S27</f>
        <v/>
      </c>
      <c r="W27" s="23" t="n">
        <v>4132</v>
      </c>
      <c r="X27" s="23" t="n">
        <v>4173</v>
      </c>
      <c r="Y27" s="23" t="n">
        <v>4206</v>
      </c>
      <c r="Z27" s="23" t="n">
        <v>4219</v>
      </c>
      <c r="AA27" s="25" t="n">
        <v>52</v>
      </c>
    </row>
    <row r="28" ht="15" customHeight="1" s="14">
      <c r="A28" s="17" t="n">
        <v>27</v>
      </c>
      <c r="B28" s="17" t="inlineStr">
        <is>
          <t>Giulio Bonvini</t>
        </is>
      </c>
      <c r="C28" s="18" t="n">
        <v>44150432</v>
      </c>
      <c r="D28" s="17" t="inlineStr">
        <is>
          <t>Italia</t>
        </is>
      </c>
      <c r="E28" s="17" t="n">
        <v>18</v>
      </c>
      <c r="F28" s="17" t="inlineStr">
        <is>
          <t>Yes (from draft season)</t>
        </is>
      </c>
      <c r="G28" s="17" t="inlineStr">
        <is>
          <t>hall of famer</t>
        </is>
      </c>
      <c r="H28" s="17" t="inlineStr">
        <is>
          <t>SF</t>
        </is>
      </c>
      <c r="I28" s="17" t="n">
        <v>206</v>
      </c>
      <c r="J28" s="17" t="n">
        <v>4</v>
      </c>
      <c r="K28" s="17" t="inlineStr">
        <is>
          <t>Yes</t>
        </is>
      </c>
      <c r="L28" s="19" t="n">
        <v>43108</v>
      </c>
      <c r="M28" s="20" t="n">
        <v>6000</v>
      </c>
      <c r="N28" s="19" t="n">
        <v>43136</v>
      </c>
      <c r="O28" s="20" t="n">
        <v>198000</v>
      </c>
      <c r="P28" s="20">
        <f>O28-M28</f>
        <v/>
      </c>
      <c r="Q28" s="21">
        <f>IF(M28=0,"",O28/M28)</f>
        <v/>
      </c>
      <c r="R28" s="22">
        <f>N28-L28</f>
        <v/>
      </c>
      <c r="S28" s="23" t="n">
        <v>3230</v>
      </c>
      <c r="T28" s="23" t="n">
        <v>3230</v>
      </c>
      <c r="U28" s="24">
        <f>M28/S28</f>
        <v/>
      </c>
      <c r="V28" s="24">
        <f>O28/S28</f>
        <v/>
      </c>
      <c r="W28" s="23" t="n">
        <v>3513</v>
      </c>
      <c r="X28" s="23" t="n"/>
      <c r="Y28" s="23" t="n"/>
      <c r="Z28" s="23" t="n">
        <v>3559</v>
      </c>
      <c r="AA28" s="25" t="n">
        <v>46</v>
      </c>
    </row>
    <row r="29" ht="15" customHeight="1" s="14">
      <c r="A29" s="17" t="n">
        <v>28</v>
      </c>
      <c r="B29" s="17" t="inlineStr">
        <is>
          <t>Sigas Kaupinis</t>
        </is>
      </c>
      <c r="C29" s="18" t="n">
        <v>44309144</v>
      </c>
      <c r="D29" s="17" t="inlineStr">
        <is>
          <t>Lietuva</t>
        </is>
      </c>
      <c r="E29" s="17" t="n">
        <v>18</v>
      </c>
      <c r="F29" s="17" t="inlineStr">
        <is>
          <t>Yes (from draft season)</t>
        </is>
      </c>
      <c r="G29" s="17" t="inlineStr">
        <is>
          <t>hall of famer</t>
        </is>
      </c>
      <c r="H29" s="17" t="inlineStr">
        <is>
          <t>PF</t>
        </is>
      </c>
      <c r="I29" s="17" t="n">
        <v>196</v>
      </c>
      <c r="J29" s="17" t="n">
        <v>26</v>
      </c>
      <c r="K29" s="17" t="inlineStr">
        <is>
          <t>Yes</t>
        </is>
      </c>
      <c r="L29" s="19" t="n">
        <v>43109</v>
      </c>
      <c r="M29" s="20" t="n">
        <v>40000</v>
      </c>
      <c r="N29" s="19" t="n">
        <v>43145</v>
      </c>
      <c r="O29" s="20" t="n">
        <v>295000</v>
      </c>
      <c r="P29" s="20">
        <f>O29-M29</f>
        <v/>
      </c>
      <c r="Q29" s="21">
        <f>IF(M29=0,"",O29/M29)</f>
        <v/>
      </c>
      <c r="R29" s="22">
        <f>N29-L29</f>
        <v/>
      </c>
      <c r="S29" s="23" t="n">
        <v>2975</v>
      </c>
      <c r="T29" s="23" t="n">
        <v>2975</v>
      </c>
      <c r="U29" s="24">
        <f>M29/S29</f>
        <v/>
      </c>
      <c r="V29" s="24">
        <f>O29/S29</f>
        <v/>
      </c>
      <c r="W29" s="23" t="n">
        <v>16014</v>
      </c>
      <c r="X29" s="23" t="n">
        <v>21163</v>
      </c>
      <c r="Y29" s="23" t="n">
        <v>21652</v>
      </c>
      <c r="Z29" s="23" t="n">
        <v>22159</v>
      </c>
      <c r="AA29" s="25" t="n">
        <v>56</v>
      </c>
    </row>
    <row r="30" ht="15" customHeight="1" s="14">
      <c r="A30" s="17" t="n">
        <v>29</v>
      </c>
      <c r="B30" s="17" t="inlineStr">
        <is>
          <t>Nicanor Peñafuerte</t>
        </is>
      </c>
      <c r="C30" s="18" t="n">
        <v>44058673</v>
      </c>
      <c r="D30" s="17" t="inlineStr">
        <is>
          <t>España</t>
        </is>
      </c>
      <c r="E30" s="17" t="n">
        <v>18</v>
      </c>
      <c r="F30" s="17" t="inlineStr">
        <is>
          <t>Yes (from draft season)</t>
        </is>
      </c>
      <c r="G30" s="17" t="inlineStr">
        <is>
          <t>hall of famer</t>
        </is>
      </c>
      <c r="H30" s="17" t="inlineStr">
        <is>
          <t>C</t>
        </is>
      </c>
      <c r="I30" s="17" t="n">
        <v>203</v>
      </c>
      <c r="J30" s="17" t="n">
        <v>6</v>
      </c>
      <c r="K30" s="17" t="inlineStr">
        <is>
          <t>No</t>
        </is>
      </c>
      <c r="L30" s="19" t="n">
        <v>43111</v>
      </c>
      <c r="M30" s="20" t="n">
        <v>1000</v>
      </c>
      <c r="N30" s="19" t="n">
        <v>43151</v>
      </c>
      <c r="O30" s="20" t="n">
        <v>187000</v>
      </c>
      <c r="P30" s="20">
        <f>O30-M30</f>
        <v/>
      </c>
      <c r="Q30" s="21">
        <f>IF(M30=0,"",O30/M30)</f>
        <v/>
      </c>
      <c r="R30" s="22">
        <f>N30-L30</f>
        <v/>
      </c>
      <c r="S30" s="23" t="n">
        <v>2668</v>
      </c>
      <c r="T30" s="23" t="n">
        <v>2668</v>
      </c>
      <c r="U30" s="24">
        <f>M30/S30</f>
        <v/>
      </c>
      <c r="V30" s="24">
        <f>O30/S30</f>
        <v/>
      </c>
      <c r="W30" s="23" t="n">
        <v>7838</v>
      </c>
      <c r="X30" s="23" t="n"/>
      <c r="Y30" s="23" t="n">
        <v>9463</v>
      </c>
      <c r="Z30" s="23" t="n">
        <v>13286</v>
      </c>
      <c r="AA30" s="25" t="n">
        <v>53</v>
      </c>
    </row>
    <row r="31" ht="15" customHeight="1" s="14">
      <c r="A31" s="17" t="n">
        <v>30</v>
      </c>
      <c r="B31" s="17" t="inlineStr">
        <is>
          <t>Werner Diersfart</t>
        </is>
      </c>
      <c r="C31" s="18" t="n">
        <v>44100991</v>
      </c>
      <c r="D31" s="17" t="inlineStr">
        <is>
          <t>Deutschland</t>
        </is>
      </c>
      <c r="E31" s="17" t="n">
        <v>18</v>
      </c>
      <c r="F31" s="17" t="inlineStr">
        <is>
          <t>Yes (from draft season)</t>
        </is>
      </c>
      <c r="G31" s="17" t="inlineStr">
        <is>
          <t>hall of famer</t>
        </is>
      </c>
      <c r="H31" s="17" t="inlineStr">
        <is>
          <t>PF</t>
        </is>
      </c>
      <c r="I31" s="17" t="n">
        <v>196</v>
      </c>
      <c r="J31" s="17" t="n">
        <v>32</v>
      </c>
      <c r="K31" s="17" t="inlineStr">
        <is>
          <t>No</t>
        </is>
      </c>
      <c r="L31" s="19" t="n">
        <v>43114</v>
      </c>
      <c r="M31" s="20" t="n">
        <v>8000</v>
      </c>
      <c r="N31" s="19" t="n">
        <v>43150</v>
      </c>
      <c r="O31" s="20" t="n">
        <v>198000</v>
      </c>
      <c r="P31" s="20">
        <f>O31-M31</f>
        <v/>
      </c>
      <c r="Q31" s="21">
        <f>IF(M31=0,"",O31/M31)</f>
        <v/>
      </c>
      <c r="R31" s="22">
        <f>N31-L31</f>
        <v/>
      </c>
      <c r="S31" s="23" t="n">
        <v>3190</v>
      </c>
      <c r="T31" s="23" t="n">
        <v>3190</v>
      </c>
      <c r="U31" s="24">
        <f>M31/S31</f>
        <v/>
      </c>
      <c r="V31" s="24">
        <f>O31/S31</f>
        <v/>
      </c>
      <c r="W31" s="23" t="n"/>
      <c r="X31" s="23" t="n"/>
      <c r="Y31" s="23" t="n"/>
      <c r="Z31" s="23" t="n">
        <v>3598</v>
      </c>
      <c r="AA31" s="25" t="n">
        <v>42</v>
      </c>
    </row>
    <row r="32" ht="15" customHeight="1" s="14">
      <c r="A32" s="17" t="n">
        <v>31</v>
      </c>
      <c r="B32" s="17" t="inlineStr">
        <is>
          <t>Dorjan Andreu</t>
        </is>
      </c>
      <c r="C32" s="18" t="n">
        <v>44946064</v>
      </c>
      <c r="D32" s="17" t="inlineStr">
        <is>
          <t>Italia</t>
        </is>
      </c>
      <c r="E32" s="17" t="n">
        <v>18</v>
      </c>
      <c r="F32" s="17" t="inlineStr">
        <is>
          <t>Yes (from draft season)</t>
        </is>
      </c>
      <c r="G32" s="17" t="inlineStr">
        <is>
          <t>hall of famer</t>
        </is>
      </c>
      <c r="H32" s="17" t="inlineStr">
        <is>
          <t>SF</t>
        </is>
      </c>
      <c r="I32" s="17" t="n">
        <v>188</v>
      </c>
      <c r="J32" s="17" t="n">
        <v>11</v>
      </c>
      <c r="K32" s="17" t="inlineStr">
        <is>
          <t>No</t>
        </is>
      </c>
      <c r="L32" s="19" t="n">
        <v>43203</v>
      </c>
      <c r="M32" s="20" t="n">
        <v>13000</v>
      </c>
      <c r="N32" s="19" t="n">
        <v>43231</v>
      </c>
      <c r="O32" s="20" t="n">
        <v>206100</v>
      </c>
      <c r="P32" s="20">
        <f>O32-M32</f>
        <v/>
      </c>
      <c r="Q32" s="21">
        <f>IF(M32=0,"",O32/M32)</f>
        <v/>
      </c>
      <c r="R32" s="22">
        <f>N32-L32</f>
        <v/>
      </c>
      <c r="S32" s="23" t="n">
        <v>3938</v>
      </c>
      <c r="T32" s="23" t="n">
        <v>3938</v>
      </c>
      <c r="U32" s="24">
        <f>M32/S32</f>
        <v/>
      </c>
      <c r="V32" s="24">
        <f>O32/S32</f>
        <v/>
      </c>
      <c r="W32" s="23" t="n">
        <v>7830</v>
      </c>
      <c r="X32" s="23" t="n">
        <v>13585</v>
      </c>
      <c r="Y32" s="23" t="n">
        <v>13608</v>
      </c>
      <c r="Z32" s="23" t="n">
        <v>13620</v>
      </c>
      <c r="AA32" s="25" t="n">
        <v>54</v>
      </c>
    </row>
    <row r="33" ht="15" customHeight="1" s="14">
      <c r="A33" s="17" t="n">
        <v>32</v>
      </c>
      <c r="B33" s="17" t="inlineStr">
        <is>
          <t>Luca Sina</t>
        </is>
      </c>
      <c r="C33" s="18" t="n">
        <v>44946495</v>
      </c>
      <c r="D33" s="17" t="inlineStr">
        <is>
          <t>Italia</t>
        </is>
      </c>
      <c r="E33" s="17" t="n">
        <v>18</v>
      </c>
      <c r="F33" s="17" t="inlineStr">
        <is>
          <t>Yes (from draft season)</t>
        </is>
      </c>
      <c r="G33" s="17" t="inlineStr">
        <is>
          <t>MVP</t>
        </is>
      </c>
      <c r="H33" s="17" t="inlineStr">
        <is>
          <t>SF</t>
        </is>
      </c>
      <c r="I33" s="17" t="n">
        <v>198</v>
      </c>
      <c r="J33" s="17" t="n">
        <v>28</v>
      </c>
      <c r="K33" s="17" t="inlineStr">
        <is>
          <t>Yes</t>
        </is>
      </c>
      <c r="L33" s="19" t="n">
        <v>43204</v>
      </c>
      <c r="M33" s="20" t="n">
        <v>7000</v>
      </c>
      <c r="N33" s="19" t="n">
        <v>43245</v>
      </c>
      <c r="O33" s="20" t="n">
        <v>198000</v>
      </c>
      <c r="P33" s="20">
        <f>O33-M33</f>
        <v/>
      </c>
      <c r="Q33" s="21">
        <f>IF(M33=0,"",O33/M33)</f>
        <v/>
      </c>
      <c r="R33" s="22">
        <f>N33-L33</f>
        <v/>
      </c>
      <c r="S33" s="23" t="n">
        <v>3021</v>
      </c>
      <c r="T33" s="23" t="n">
        <v>3021</v>
      </c>
      <c r="U33" s="24">
        <f>M33/S33</f>
        <v/>
      </c>
      <c r="V33" s="24">
        <f>O33/S33</f>
        <v/>
      </c>
      <c r="W33" s="23" t="n"/>
      <c r="X33" s="23" t="n"/>
      <c r="Y33" s="23" t="n"/>
      <c r="Z33" s="23" t="n">
        <v>4388</v>
      </c>
      <c r="AA33" s="25" t="n">
        <v>45</v>
      </c>
    </row>
    <row r="34" ht="15" customHeight="1" s="14">
      <c r="A34" s="17" t="n">
        <v>33</v>
      </c>
      <c r="B34" s="17" t="inlineStr">
        <is>
          <t>Artur Salawa</t>
        </is>
      </c>
      <c r="C34" s="18" t="n">
        <v>45324882</v>
      </c>
      <c r="D34" s="17" t="inlineStr">
        <is>
          <t>Polska</t>
        </is>
      </c>
      <c r="E34" s="17" t="n">
        <v>18</v>
      </c>
      <c r="F34" s="17" t="inlineStr">
        <is>
          <t>Yes (from draft season)</t>
        </is>
      </c>
      <c r="G34" s="17" t="inlineStr">
        <is>
          <t>hall of famer</t>
        </is>
      </c>
      <c r="H34" s="17" t="inlineStr">
        <is>
          <t>SF</t>
        </is>
      </c>
      <c r="I34" s="17" t="n">
        <v>198</v>
      </c>
      <c r="J34" s="17" t="n">
        <v>11</v>
      </c>
      <c r="K34" s="17" t="inlineStr">
        <is>
          <t>No</t>
        </is>
      </c>
      <c r="L34" s="19" t="n">
        <v>43204</v>
      </c>
      <c r="M34" s="20" t="n">
        <v>10000</v>
      </c>
      <c r="N34" s="19" t="n">
        <v>43235</v>
      </c>
      <c r="O34" s="20" t="n">
        <v>187000</v>
      </c>
      <c r="P34" s="20">
        <f>O34-M34</f>
        <v/>
      </c>
      <c r="Q34" s="21">
        <f>IF(M34=0,"",O34/M34)</f>
        <v/>
      </c>
      <c r="R34" s="22">
        <f>N34-L34</f>
        <v/>
      </c>
      <c r="S34" s="23" t="n">
        <v>2752</v>
      </c>
      <c r="T34" s="23" t="n">
        <v>2752</v>
      </c>
      <c r="U34" s="24">
        <f>M34/S34</f>
        <v/>
      </c>
      <c r="V34" s="24">
        <f>O34/S34</f>
        <v/>
      </c>
      <c r="W34" s="23" t="n">
        <v>7220</v>
      </c>
      <c r="X34" s="23" t="n">
        <v>7227</v>
      </c>
      <c r="Y34" s="23" t="n">
        <v>8163</v>
      </c>
      <c r="Z34" s="23" t="n">
        <v>8349</v>
      </c>
      <c r="AA34" s="25" t="n">
        <v>52</v>
      </c>
    </row>
    <row r="35" ht="15" customHeight="1" s="14">
      <c r="A35" s="17" t="n">
        <v>34</v>
      </c>
      <c r="B35" s="17" t="inlineStr">
        <is>
          <t>Andrew Matthew Supranes</t>
        </is>
      </c>
      <c r="C35" s="18" t="n">
        <v>45306844</v>
      </c>
      <c r="D35" s="17" t="inlineStr">
        <is>
          <t>Pilipinas</t>
        </is>
      </c>
      <c r="E35" s="17" t="n">
        <v>18</v>
      </c>
      <c r="F35" s="17" t="inlineStr">
        <is>
          <t>Yes (from draft season)</t>
        </is>
      </c>
      <c r="G35" s="17" t="inlineStr">
        <is>
          <t>hall of famer</t>
        </is>
      </c>
      <c r="H35" s="17" t="inlineStr">
        <is>
          <t>SF</t>
        </is>
      </c>
      <c r="I35" s="17" t="n">
        <v>185</v>
      </c>
      <c r="J35" s="17" t="n">
        <v>32</v>
      </c>
      <c r="K35" s="17" t="inlineStr">
        <is>
          <t>No</t>
        </is>
      </c>
      <c r="L35" s="19" t="n">
        <v>43205</v>
      </c>
      <c r="M35" s="20" t="n">
        <v>12000</v>
      </c>
      <c r="N35" s="19" t="n">
        <v>43235</v>
      </c>
      <c r="O35" s="20" t="n">
        <v>301000</v>
      </c>
      <c r="P35" s="20">
        <f>O35-M35</f>
        <v/>
      </c>
      <c r="Q35" s="21">
        <f>IF(M35=0,"",O35/M35)</f>
        <v/>
      </c>
      <c r="R35" s="22">
        <f>N35-L35</f>
        <v/>
      </c>
      <c r="S35" s="23" t="n">
        <v>3381</v>
      </c>
      <c r="T35" s="23" t="n">
        <v>3381</v>
      </c>
      <c r="U35" s="24">
        <f>M35/S35</f>
        <v/>
      </c>
      <c r="V35" s="24">
        <f>O35/S35</f>
        <v/>
      </c>
      <c r="W35" s="23" t="n">
        <v>12531</v>
      </c>
      <c r="X35" s="23" t="n">
        <v>22284</v>
      </c>
      <c r="Y35" s="23" t="n">
        <v>31365</v>
      </c>
      <c r="Z35" s="23" t="n">
        <v>37842</v>
      </c>
      <c r="AA35" s="25" t="n">
        <v>61</v>
      </c>
    </row>
    <row r="36" ht="15" customHeight="1" s="14">
      <c r="A36" s="17" t="n">
        <v>35</v>
      </c>
      <c r="B36" s="17" t="inlineStr">
        <is>
          <t>Adri de Henau</t>
        </is>
      </c>
      <c r="C36" s="18" t="n">
        <v>45078706</v>
      </c>
      <c r="D36" s="17" t="inlineStr">
        <is>
          <t>Nederland</t>
        </is>
      </c>
      <c r="E36" s="17" t="n">
        <v>18</v>
      </c>
      <c r="F36" s="17" t="inlineStr">
        <is>
          <t>Yes (from draft season)</t>
        </is>
      </c>
      <c r="G36" s="17" t="inlineStr">
        <is>
          <t>hall of famer</t>
        </is>
      </c>
      <c r="H36" s="17" t="inlineStr">
        <is>
          <t>SF</t>
        </is>
      </c>
      <c r="I36" s="17" t="n">
        <v>201</v>
      </c>
      <c r="J36" s="17" t="n">
        <v>15</v>
      </c>
      <c r="K36" s="17" t="inlineStr">
        <is>
          <t>No</t>
        </is>
      </c>
      <c r="L36" s="19" t="n">
        <v>43207</v>
      </c>
      <c r="M36" s="20" t="n">
        <v>6000</v>
      </c>
      <c r="N36" s="19" t="n">
        <v>43236</v>
      </c>
      <c r="O36" s="20" t="n">
        <v>198000</v>
      </c>
      <c r="P36" s="20">
        <f>O36-M36</f>
        <v/>
      </c>
      <c r="Q36" s="21">
        <f>IF(M36=0,"",O36/M36)</f>
        <v/>
      </c>
      <c r="R36" s="22">
        <f>N36-L36</f>
        <v/>
      </c>
      <c r="S36" s="23" t="n">
        <v>3269</v>
      </c>
      <c r="T36" s="23" t="n">
        <v>3269</v>
      </c>
      <c r="U36" s="24">
        <f>M36/S36</f>
        <v/>
      </c>
      <c r="V36" s="24">
        <f>O36/S36</f>
        <v/>
      </c>
      <c r="W36" s="23" t="n">
        <v>7867</v>
      </c>
      <c r="X36" s="23" t="n">
        <v>8022</v>
      </c>
      <c r="Y36" s="23" t="n">
        <v>8102</v>
      </c>
      <c r="Z36" s="23" t="n">
        <v>9595</v>
      </c>
      <c r="AA36" s="25" t="n">
        <v>55</v>
      </c>
    </row>
    <row r="37" ht="15" customHeight="1" s="14">
      <c r="A37" s="17" t="n">
        <v>36</v>
      </c>
      <c r="B37" s="17" t="inlineStr">
        <is>
          <t>Simo Voltri</t>
        </is>
      </c>
      <c r="C37" s="18" t="n">
        <v>45232526</v>
      </c>
      <c r="D37" s="17" t="inlineStr">
        <is>
          <t>Eesti</t>
        </is>
      </c>
      <c r="E37" s="17" t="n">
        <v>18</v>
      </c>
      <c r="F37" s="17" t="inlineStr">
        <is>
          <t>Yes (from draft season)</t>
        </is>
      </c>
      <c r="G37" s="17" t="inlineStr">
        <is>
          <t>hall of famer</t>
        </is>
      </c>
      <c r="H37" s="17" t="inlineStr">
        <is>
          <t>SF</t>
        </is>
      </c>
      <c r="I37" s="17" t="n">
        <v>206</v>
      </c>
      <c r="J37" s="17" t="n">
        <v>32</v>
      </c>
      <c r="K37" s="17" t="inlineStr">
        <is>
          <t>Yes</t>
        </is>
      </c>
      <c r="L37" s="19" t="n">
        <v>43210</v>
      </c>
      <c r="M37" s="20" t="n">
        <v>32000</v>
      </c>
      <c r="N37" s="19" t="n">
        <v>43244</v>
      </c>
      <c r="O37" s="20" t="n">
        <v>252000</v>
      </c>
      <c r="P37" s="20">
        <f>O37-M37</f>
        <v/>
      </c>
      <c r="Q37" s="21">
        <f>IF(M37=0,"",O37/M37)</f>
        <v/>
      </c>
      <c r="R37" s="22">
        <f>N37-L37</f>
        <v/>
      </c>
      <c r="S37" s="23" t="n">
        <v>3235</v>
      </c>
      <c r="T37" s="23" t="n">
        <v>3235</v>
      </c>
      <c r="U37" s="24">
        <f>M37/S37</f>
        <v/>
      </c>
      <c r="V37" s="24">
        <f>O37/S37</f>
        <v/>
      </c>
      <c r="W37" s="23" t="n">
        <v>4115</v>
      </c>
      <c r="X37" s="23" t="n">
        <v>4479</v>
      </c>
      <c r="Y37" s="23" t="n"/>
      <c r="Z37" s="23" t="n">
        <v>4583</v>
      </c>
      <c r="AA37" s="25" t="n">
        <v>49</v>
      </c>
    </row>
    <row r="38" ht="15" customHeight="1" s="14">
      <c r="A38" s="17" t="n">
        <v>37</v>
      </c>
      <c r="B38" s="17" t="inlineStr">
        <is>
          <t>Ralf Looft</t>
        </is>
      </c>
      <c r="C38" s="18" t="n">
        <v>44900658</v>
      </c>
      <c r="D38" s="17" t="inlineStr">
        <is>
          <t>Deutschland</t>
        </is>
      </c>
      <c r="E38" s="17" t="n">
        <v>18</v>
      </c>
      <c r="F38" s="17" t="inlineStr">
        <is>
          <t>Yes (from draft season)</t>
        </is>
      </c>
      <c r="G38" s="17" t="inlineStr">
        <is>
          <t>hall of famer</t>
        </is>
      </c>
      <c r="H38" s="17" t="inlineStr">
        <is>
          <t>PF</t>
        </is>
      </c>
      <c r="I38" s="17" t="n">
        <v>203</v>
      </c>
      <c r="J38" s="17" t="n">
        <v>48</v>
      </c>
      <c r="K38" s="17" t="inlineStr">
        <is>
          <t>No</t>
        </is>
      </c>
      <c r="L38" s="19" t="n">
        <v>43211</v>
      </c>
      <c r="M38" s="20" t="n">
        <v>29000</v>
      </c>
      <c r="N38" s="19" t="n">
        <v>43249</v>
      </c>
      <c r="O38" s="20" t="n">
        <v>198000</v>
      </c>
      <c r="P38" s="20">
        <f>O38-M38</f>
        <v/>
      </c>
      <c r="Q38" s="21">
        <f>IF(M38=0,"",O38/M38)</f>
        <v/>
      </c>
      <c r="R38" s="22">
        <f>N38-L38</f>
        <v/>
      </c>
      <c r="S38" s="23" t="n">
        <v>3252</v>
      </c>
      <c r="T38" s="23" t="n">
        <v>3252</v>
      </c>
      <c r="U38" s="24">
        <f>M38/S38</f>
        <v/>
      </c>
      <c r="V38" s="24">
        <f>O38/S38</f>
        <v/>
      </c>
      <c r="W38" s="23" t="n">
        <v>8037</v>
      </c>
      <c r="X38" s="23" t="n">
        <v>10888</v>
      </c>
      <c r="Y38" s="23" t="n">
        <v>11066</v>
      </c>
      <c r="Z38" s="23" t="n">
        <v>11380</v>
      </c>
      <c r="AA38" s="25" t="n">
        <v>58</v>
      </c>
    </row>
    <row r="39" ht="15" customHeight="1" s="14">
      <c r="A39" s="17" t="n">
        <v>38</v>
      </c>
      <c r="B39" s="17" t="inlineStr">
        <is>
          <t>Bill Höstlius</t>
        </is>
      </c>
      <c r="C39" s="18" t="n">
        <v>45719792</v>
      </c>
      <c r="D39" s="17" t="inlineStr">
        <is>
          <t>Sverige</t>
        </is>
      </c>
      <c r="E39" s="17" t="n">
        <v>18</v>
      </c>
      <c r="F39" s="17" t="inlineStr">
        <is>
          <t>Yes (from draft season)</t>
        </is>
      </c>
      <c r="G39" s="17" t="inlineStr">
        <is>
          <t>hall of famer</t>
        </is>
      </c>
      <c r="H39" s="17" t="inlineStr">
        <is>
          <t>PF</t>
        </is>
      </c>
      <c r="I39" s="17" t="n">
        <v>203</v>
      </c>
      <c r="J39" s="17" t="n">
        <v>23</v>
      </c>
      <c r="K39" s="17" t="inlineStr">
        <is>
          <t>No</t>
        </is>
      </c>
      <c r="L39" s="19" t="n">
        <v>43301</v>
      </c>
      <c r="M39" s="20" t="n">
        <v>22222</v>
      </c>
      <c r="N39" s="19" t="n">
        <v>43340</v>
      </c>
      <c r="O39" s="20" t="n">
        <v>175000</v>
      </c>
      <c r="P39" s="20">
        <f>O39-M39</f>
        <v/>
      </c>
      <c r="Q39" s="21">
        <f>IF(M39=0,"",O39/M39)</f>
        <v/>
      </c>
      <c r="R39" s="22">
        <f>N39-L39</f>
        <v/>
      </c>
      <c r="S39" s="23" t="n">
        <v>2979</v>
      </c>
      <c r="T39" s="23" t="n">
        <v>2979</v>
      </c>
      <c r="U39" s="24">
        <f>M39/S39</f>
        <v/>
      </c>
      <c r="V39" s="24">
        <f>O39/S39</f>
        <v/>
      </c>
      <c r="W39" s="23" t="n">
        <v>13486</v>
      </c>
      <c r="X39" s="23" t="n">
        <v>18221</v>
      </c>
      <c r="Y39" s="23" t="n">
        <v>18335</v>
      </c>
      <c r="Z39" s="23" t="n">
        <v>25764</v>
      </c>
      <c r="AA39" s="25" t="n">
        <v>64</v>
      </c>
    </row>
    <row r="40" ht="15" customHeight="1" s="14">
      <c r="A40" s="17" t="n">
        <v>39</v>
      </c>
      <c r="B40" s="17" t="inlineStr">
        <is>
          <t>Edvinas Slapcinskas</t>
        </is>
      </c>
      <c r="C40" s="18" t="n">
        <v>45887858</v>
      </c>
      <c r="D40" s="17" t="inlineStr">
        <is>
          <t>Lietuva</t>
        </is>
      </c>
      <c r="E40" s="17" t="n">
        <v>18</v>
      </c>
      <c r="F40" s="17" t="inlineStr">
        <is>
          <t>Yes (from draft season)</t>
        </is>
      </c>
      <c r="G40" s="17" t="inlineStr">
        <is>
          <t>MVP</t>
        </is>
      </c>
      <c r="H40" s="17" t="inlineStr">
        <is>
          <t>SF</t>
        </is>
      </c>
      <c r="I40" s="17" t="n">
        <v>185</v>
      </c>
      <c r="J40" s="17" t="n">
        <v>40</v>
      </c>
      <c r="K40" s="17" t="inlineStr">
        <is>
          <t>Yes</t>
        </is>
      </c>
      <c r="L40" s="19" t="n">
        <v>43301</v>
      </c>
      <c r="M40" s="20" t="n">
        <v>22222</v>
      </c>
      <c r="N40" s="19" t="n">
        <v>43331</v>
      </c>
      <c r="O40" s="20" t="n">
        <v>295000</v>
      </c>
      <c r="P40" s="20">
        <f>O40-M40</f>
        <v/>
      </c>
      <c r="Q40" s="21">
        <f>IF(M40=0,"",O40/M40)</f>
        <v/>
      </c>
      <c r="R40" s="22">
        <f>N40-L40</f>
        <v/>
      </c>
      <c r="S40" s="23" t="n">
        <v>3807</v>
      </c>
      <c r="T40" s="23" t="n">
        <v>3807</v>
      </c>
      <c r="U40" s="24">
        <f>M40/S40</f>
        <v/>
      </c>
      <c r="V40" s="24">
        <f>O40/S40</f>
        <v/>
      </c>
      <c r="W40" s="23" t="n">
        <v>9811</v>
      </c>
      <c r="X40" s="23" t="n">
        <v>24391</v>
      </c>
      <c r="Y40" s="23" t="n">
        <v>38495</v>
      </c>
      <c r="Z40" s="23" t="n">
        <v>43138</v>
      </c>
      <c r="AA40" s="25" t="n">
        <v>63</v>
      </c>
    </row>
    <row r="41" ht="15" customHeight="1" s="14">
      <c r="A41" s="17" t="n">
        <v>40</v>
      </c>
      <c r="B41" s="17" t="inlineStr">
        <is>
          <t>Stanisław Struski</t>
        </is>
      </c>
      <c r="C41" s="18" t="n">
        <v>46104453</v>
      </c>
      <c r="D41" s="17" t="inlineStr">
        <is>
          <t>Polska</t>
        </is>
      </c>
      <c r="E41" s="17" t="n">
        <v>18</v>
      </c>
      <c r="F41" s="17" t="inlineStr">
        <is>
          <t>Yes (from draft season)</t>
        </is>
      </c>
      <c r="G41" s="17" t="inlineStr">
        <is>
          <t>hall of famer</t>
        </is>
      </c>
      <c r="H41" s="17" t="inlineStr">
        <is>
          <t>PG</t>
        </is>
      </c>
      <c r="I41" s="17" t="n">
        <v>198</v>
      </c>
      <c r="J41" s="17" t="n">
        <v>1</v>
      </c>
      <c r="K41" s="17" t="inlineStr">
        <is>
          <t>No</t>
        </is>
      </c>
      <c r="L41" s="19" t="n">
        <v>43302</v>
      </c>
      <c r="M41" s="20" t="n">
        <v>108400</v>
      </c>
      <c r="N41" s="19" t="n">
        <v>43332</v>
      </c>
      <c r="O41" s="20" t="n">
        <v>600000</v>
      </c>
      <c r="P41" s="20">
        <f>O41-M41</f>
        <v/>
      </c>
      <c r="Q41" s="21">
        <f>IF(M41=0,"",O41/M41)</f>
        <v/>
      </c>
      <c r="R41" s="22">
        <f>N41-L41</f>
        <v/>
      </c>
      <c r="S41" s="23" t="n">
        <v>4030</v>
      </c>
      <c r="T41" s="23" t="n">
        <v>4030</v>
      </c>
      <c r="U41" s="24">
        <f>M41/S41</f>
        <v/>
      </c>
      <c r="V41" s="24">
        <f>O41/S41</f>
        <v/>
      </c>
      <c r="W41" s="23" t="n">
        <v>4674</v>
      </c>
      <c r="X41" s="23" t="n">
        <v>7724</v>
      </c>
      <c r="Y41" s="23" t="n">
        <v>10793</v>
      </c>
      <c r="Z41" s="23" t="n">
        <v>12371</v>
      </c>
      <c r="AA41" s="25" t="n">
        <v>55</v>
      </c>
    </row>
    <row r="42" ht="15" customHeight="1" s="14">
      <c r="A42" s="17" t="n">
        <v>41</v>
      </c>
      <c r="B42" s="17" t="inlineStr">
        <is>
          <t>Mieczysław Konpa</t>
        </is>
      </c>
      <c r="C42" s="18" t="n">
        <v>46104432</v>
      </c>
      <c r="D42" s="17" t="inlineStr">
        <is>
          <t>Polska</t>
        </is>
      </c>
      <c r="E42" s="17" t="n">
        <v>18</v>
      </c>
      <c r="F42" s="17" t="inlineStr">
        <is>
          <t>Yes (from draft season)</t>
        </is>
      </c>
      <c r="G42" s="17" t="inlineStr">
        <is>
          <t>MVP</t>
        </is>
      </c>
      <c r="H42" s="17" t="inlineStr">
        <is>
          <t>PG</t>
        </is>
      </c>
      <c r="I42" s="17" t="n">
        <v>206</v>
      </c>
      <c r="J42" s="17" t="n">
        <v>17</v>
      </c>
      <c r="K42" s="17" t="inlineStr">
        <is>
          <t>No</t>
        </is>
      </c>
      <c r="L42" s="19" t="n">
        <v>43302</v>
      </c>
      <c r="M42" s="20" t="n">
        <v>7000</v>
      </c>
      <c r="N42" s="19" t="n">
        <v>43338</v>
      </c>
      <c r="O42" s="20" t="n">
        <v>187000</v>
      </c>
      <c r="P42" s="20">
        <f>O42-M42</f>
        <v/>
      </c>
      <c r="Q42" s="21">
        <f>IF(M42=0,"",O42/M42)</f>
        <v/>
      </c>
      <c r="R42" s="22">
        <f>N42-L42</f>
        <v/>
      </c>
      <c r="S42" s="23" t="n">
        <v>3096</v>
      </c>
      <c r="T42" s="23" t="n">
        <v>3096</v>
      </c>
      <c r="U42" s="24">
        <f>M42/S42</f>
        <v/>
      </c>
      <c r="V42" s="24">
        <f>O42/S42</f>
        <v/>
      </c>
      <c r="W42" s="23" t="n">
        <v>3037</v>
      </c>
      <c r="X42" s="23" t="n">
        <v>3037</v>
      </c>
      <c r="Y42" s="23" t="n">
        <v>3037</v>
      </c>
      <c r="Z42" s="23" t="n">
        <v>3096</v>
      </c>
      <c r="AA42" s="25" t="n">
        <v>60</v>
      </c>
    </row>
    <row r="43" ht="15" customHeight="1" s="14">
      <c r="A43" s="17" t="n">
        <v>42</v>
      </c>
      <c r="B43" s="17" t="inlineStr">
        <is>
          <t>Rodrigo Caruncho</t>
        </is>
      </c>
      <c r="C43" s="18" t="n">
        <v>46237047</v>
      </c>
      <c r="D43" s="17" t="inlineStr">
        <is>
          <t>Utopia</t>
        </is>
      </c>
      <c r="E43" s="17" t="n">
        <v>18</v>
      </c>
      <c r="F43" s="17" t="inlineStr">
        <is>
          <t>Yes (from draft season)</t>
        </is>
      </c>
      <c r="G43" s="17" t="inlineStr">
        <is>
          <t>hall of famer</t>
        </is>
      </c>
      <c r="H43" s="17" t="inlineStr">
        <is>
          <t>SF</t>
        </is>
      </c>
      <c r="I43" s="17" t="n">
        <v>185</v>
      </c>
      <c r="J43" s="17" t="n">
        <v>2</v>
      </c>
      <c r="K43" s="17" t="inlineStr">
        <is>
          <t>No</t>
        </is>
      </c>
      <c r="L43" s="19" t="n">
        <v>43303</v>
      </c>
      <c r="M43" s="20" t="n">
        <v>33333</v>
      </c>
      <c r="N43" s="19" t="n">
        <v>43333</v>
      </c>
      <c r="O43" s="20" t="n">
        <v>272000</v>
      </c>
      <c r="P43" s="20">
        <f>O43-M43</f>
        <v/>
      </c>
      <c r="Q43" s="21">
        <f>IF(M43=0,"",O43/M43)</f>
        <v/>
      </c>
      <c r="R43" s="22">
        <f>N43-L43</f>
        <v/>
      </c>
      <c r="S43" s="23" t="n">
        <v>5079</v>
      </c>
      <c r="T43" s="23" t="n">
        <v>5079</v>
      </c>
      <c r="U43" s="24">
        <f>M43/S43</f>
        <v/>
      </c>
      <c r="V43" s="24">
        <f>O43/S43</f>
        <v/>
      </c>
      <c r="W43" s="23" t="n"/>
      <c r="X43" s="23" t="n"/>
      <c r="Y43" s="23" t="n"/>
      <c r="Z43" s="23" t="n">
        <v>5121</v>
      </c>
      <c r="AA43" s="25" t="n">
        <v>44</v>
      </c>
    </row>
    <row r="44" ht="15" customHeight="1" s="14">
      <c r="A44" s="17" t="n">
        <v>43</v>
      </c>
      <c r="B44" s="17" t="inlineStr">
        <is>
          <t>Luca Pimpo</t>
        </is>
      </c>
      <c r="C44" s="18" t="n">
        <v>46368878</v>
      </c>
      <c r="D44" s="17" t="inlineStr">
        <is>
          <t>Italia</t>
        </is>
      </c>
      <c r="E44" s="17" t="n">
        <v>18</v>
      </c>
      <c r="F44" s="17" t="inlineStr">
        <is>
          <t>Yes (from draft season)</t>
        </is>
      </c>
      <c r="G44" s="17" t="inlineStr">
        <is>
          <t>MVP</t>
        </is>
      </c>
      <c r="H44" s="17" t="inlineStr">
        <is>
          <t>C</t>
        </is>
      </c>
      <c r="I44" s="17" t="n">
        <v>201</v>
      </c>
      <c r="J44" s="17" t="n">
        <v>48</v>
      </c>
      <c r="K44" s="17" t="inlineStr">
        <is>
          <t>Yes</t>
        </is>
      </c>
      <c r="L44" s="19" t="n">
        <v>43398</v>
      </c>
      <c r="M44" s="20" t="n">
        <v>5000</v>
      </c>
      <c r="N44" s="19" t="n">
        <v>43425</v>
      </c>
      <c r="O44" s="20" t="n">
        <v>272000</v>
      </c>
      <c r="P44" s="20">
        <f>O44-M44</f>
        <v/>
      </c>
      <c r="Q44" s="21">
        <f>IF(M44=0,"",O44/M44)</f>
        <v/>
      </c>
      <c r="R44" s="22">
        <f>N44-L44</f>
        <v/>
      </c>
      <c r="S44" s="23" t="n">
        <v>3795</v>
      </c>
      <c r="T44" s="23" t="n">
        <v>3795</v>
      </c>
      <c r="U44" s="24">
        <f>M44/S44</f>
        <v/>
      </c>
      <c r="V44" s="24">
        <f>O44/S44</f>
        <v/>
      </c>
      <c r="W44" s="23" t="n">
        <v>4258</v>
      </c>
      <c r="X44" s="23" t="n">
        <v>7371</v>
      </c>
      <c r="Y44" s="23" t="n">
        <v>12846</v>
      </c>
      <c r="Z44" s="23" t="n">
        <v>14081</v>
      </c>
      <c r="AA44" s="25" t="n">
        <v>57</v>
      </c>
    </row>
    <row r="45" ht="15" customHeight="1" s="14">
      <c r="A45" s="17" t="n">
        <v>44</v>
      </c>
      <c r="B45" s="17" t="inlineStr">
        <is>
          <t>Freddy Langley</t>
        </is>
      </c>
      <c r="C45" s="18" t="n">
        <v>46551912</v>
      </c>
      <c r="D45" s="17" t="inlineStr">
        <is>
          <t>Utopia</t>
        </is>
      </c>
      <c r="E45" s="17" t="n">
        <v>18</v>
      </c>
      <c r="F45" s="17" t="inlineStr">
        <is>
          <t>Yes (from draft season)</t>
        </is>
      </c>
      <c r="G45" s="17" t="inlineStr">
        <is>
          <t>MVP</t>
        </is>
      </c>
      <c r="H45" s="17" t="inlineStr">
        <is>
          <t>PF</t>
        </is>
      </c>
      <c r="I45" s="17" t="n">
        <v>211</v>
      </c>
      <c r="J45" s="17" t="n">
        <v>4</v>
      </c>
      <c r="K45" s="17" t="inlineStr">
        <is>
          <t>Yes</t>
        </is>
      </c>
      <c r="L45" s="19" t="n">
        <v>43398</v>
      </c>
      <c r="M45" s="20" t="n">
        <v>7000</v>
      </c>
      <c r="N45" s="19" t="n">
        <v>43429</v>
      </c>
      <c r="O45" s="20" t="n">
        <v>252000</v>
      </c>
      <c r="P45" s="20">
        <f>O45-M45</f>
        <v/>
      </c>
      <c r="Q45" s="21">
        <f>IF(M45=0,"",O45/M45)</f>
        <v/>
      </c>
      <c r="R45" s="22">
        <f>N45-L45</f>
        <v/>
      </c>
      <c r="S45" s="23" t="n">
        <v>3181</v>
      </c>
      <c r="T45" s="23" t="n">
        <v>3181</v>
      </c>
      <c r="U45" s="24">
        <f>M45/S45</f>
        <v/>
      </c>
      <c r="V45" s="24">
        <f>O45/S45</f>
        <v/>
      </c>
      <c r="W45" s="23" t="n">
        <v>2993</v>
      </c>
      <c r="X45" s="23" t="n">
        <v>2993</v>
      </c>
      <c r="Y45" s="23" t="n">
        <v>2993</v>
      </c>
      <c r="Z45" s="23" t="n">
        <v>3181</v>
      </c>
      <c r="AA45" s="25" t="n">
        <v>66</v>
      </c>
    </row>
    <row r="46" ht="15" customHeight="1" s="14">
      <c r="A46" s="17" t="n">
        <v>45</v>
      </c>
      <c r="B46" s="17" t="inlineStr">
        <is>
          <t>Janusz Werner</t>
        </is>
      </c>
      <c r="C46" s="18" t="n">
        <v>46509792</v>
      </c>
      <c r="D46" s="17" t="inlineStr">
        <is>
          <t>Polska</t>
        </is>
      </c>
      <c r="E46" s="17" t="n">
        <v>18</v>
      </c>
      <c r="F46" s="17" t="inlineStr">
        <is>
          <t>Yes (from draft season)</t>
        </is>
      </c>
      <c r="G46" s="17" t="inlineStr">
        <is>
          <t>hall of famer</t>
        </is>
      </c>
      <c r="H46" s="17" t="inlineStr">
        <is>
          <t>PG</t>
        </is>
      </c>
      <c r="I46" s="17" t="n">
        <v>198</v>
      </c>
      <c r="J46" s="17" t="n">
        <v>42</v>
      </c>
      <c r="K46" s="17" t="inlineStr">
        <is>
          <t>Yes</t>
        </is>
      </c>
      <c r="L46" s="19" t="n">
        <v>43400</v>
      </c>
      <c r="M46" s="20" t="n">
        <v>32000</v>
      </c>
      <c r="N46" s="19" t="n">
        <v>43477</v>
      </c>
      <c r="O46" s="20" t="n">
        <v>131000</v>
      </c>
      <c r="P46" s="20">
        <f>O46-M46</f>
        <v/>
      </c>
      <c r="Q46" s="21">
        <f>IF(M46=0,"",O46/M46)</f>
        <v/>
      </c>
      <c r="R46" s="22">
        <f>N46-L46</f>
        <v/>
      </c>
      <c r="S46" s="23" t="n">
        <v>2861</v>
      </c>
      <c r="T46" s="23" t="n">
        <v>2861</v>
      </c>
      <c r="U46" s="24">
        <f>M46/S46</f>
        <v/>
      </c>
      <c r="V46" s="24">
        <f>O46/S46</f>
        <v/>
      </c>
      <c r="W46" s="23" t="n">
        <v>3788</v>
      </c>
      <c r="X46" s="23" t="n">
        <v>5066</v>
      </c>
      <c r="Y46" s="23" t="n">
        <v>5611</v>
      </c>
      <c r="Z46" s="23" t="n">
        <v>7971</v>
      </c>
      <c r="AA46" s="25" t="n">
        <v>57</v>
      </c>
    </row>
    <row r="47" ht="15" customHeight="1" s="14">
      <c r="A47" s="17" t="n">
        <v>46</v>
      </c>
      <c r="B47" s="17" t="inlineStr">
        <is>
          <t>Dario Meić</t>
        </is>
      </c>
      <c r="C47" s="18" t="n">
        <v>46473548</v>
      </c>
      <c r="D47" s="17" t="inlineStr">
        <is>
          <t>Bosna i Hercegovina</t>
        </is>
      </c>
      <c r="E47" s="17" t="n">
        <v>18</v>
      </c>
      <c r="F47" s="17" t="inlineStr">
        <is>
          <t>Yes (from draft season)</t>
        </is>
      </c>
      <c r="G47" s="17" t="inlineStr">
        <is>
          <t>hall of famer</t>
        </is>
      </c>
      <c r="H47" s="17" t="inlineStr">
        <is>
          <t>PG</t>
        </is>
      </c>
      <c r="I47" s="17" t="n">
        <v>185</v>
      </c>
      <c r="J47" s="17" t="n">
        <v>32</v>
      </c>
      <c r="K47" s="17" t="inlineStr">
        <is>
          <t>Yes</t>
        </is>
      </c>
      <c r="L47" s="19" t="n">
        <v>43401</v>
      </c>
      <c r="M47" s="20" t="n">
        <v>100000</v>
      </c>
      <c r="N47" s="19" t="n">
        <v>43493</v>
      </c>
      <c r="O47" s="20" t="n">
        <v>131000</v>
      </c>
      <c r="P47" s="20">
        <f>O47-M47</f>
        <v/>
      </c>
      <c r="Q47" s="21">
        <f>IF(M47=0,"",O47/M47)</f>
        <v/>
      </c>
      <c r="R47" s="22">
        <f>N47-L47</f>
        <v/>
      </c>
      <c r="S47" s="23" t="n">
        <v>3982</v>
      </c>
      <c r="T47" s="23" t="n">
        <v>3889</v>
      </c>
      <c r="U47" s="24">
        <f>M47/S47</f>
        <v/>
      </c>
      <c r="V47" s="24">
        <f>O47/S47</f>
        <v/>
      </c>
      <c r="W47" s="23" t="n">
        <v>4861</v>
      </c>
      <c r="X47" s="23" t="n">
        <v>6678</v>
      </c>
      <c r="Y47" s="23" t="n"/>
      <c r="Z47" s="23" t="n">
        <v>6678</v>
      </c>
      <c r="AA47" s="25" t="n">
        <v>50</v>
      </c>
    </row>
    <row r="48" ht="15" customHeight="1" s="14">
      <c r="A48" s="17" t="n">
        <v>47</v>
      </c>
      <c r="B48" s="17" t="inlineStr">
        <is>
          <t>Georg Stüber</t>
        </is>
      </c>
      <c r="C48" s="18" t="n">
        <v>46498648</v>
      </c>
      <c r="D48" s="17" t="inlineStr">
        <is>
          <t>Magyarország</t>
        </is>
      </c>
      <c r="E48" s="17" t="n">
        <v>18</v>
      </c>
      <c r="F48" s="17" t="inlineStr">
        <is>
          <t>Yes (from draft season)</t>
        </is>
      </c>
      <c r="G48" s="17" t="inlineStr">
        <is>
          <t>hall of famer</t>
        </is>
      </c>
      <c r="H48" s="17" t="inlineStr">
        <is>
          <t>SG</t>
        </is>
      </c>
      <c r="I48" s="17" t="n">
        <v>183</v>
      </c>
      <c r="J48" s="17" t="n">
        <v>11</v>
      </c>
      <c r="K48" s="17" t="inlineStr">
        <is>
          <t>Yes</t>
        </is>
      </c>
      <c r="L48" s="19" t="n">
        <v>43402</v>
      </c>
      <c r="M48" s="20" t="n">
        <v>3000</v>
      </c>
      <c r="N48" s="19" t="n">
        <v>43432</v>
      </c>
      <c r="O48" s="20" t="n">
        <v>295000</v>
      </c>
      <c r="P48" s="20">
        <f>O48-M48</f>
        <v/>
      </c>
      <c r="Q48" s="21">
        <f>IF(M48=0,"",O48/M48)</f>
        <v/>
      </c>
      <c r="R48" s="22">
        <f>N48-L48</f>
        <v/>
      </c>
      <c r="S48" s="23" t="n">
        <v>2562</v>
      </c>
      <c r="T48" s="23" t="n">
        <v>2562</v>
      </c>
      <c r="U48" s="24">
        <f>M48/S48</f>
        <v/>
      </c>
      <c r="V48" s="24">
        <f>O48/S48</f>
        <v/>
      </c>
      <c r="W48" s="23" t="n">
        <v>9391</v>
      </c>
      <c r="X48" s="23" t="n">
        <v>12302</v>
      </c>
      <c r="Y48" s="23" t="n">
        <v>15297</v>
      </c>
      <c r="Z48" s="23" t="n">
        <v>18195</v>
      </c>
      <c r="AA48" s="25" t="n">
        <v>57</v>
      </c>
    </row>
    <row r="49" ht="15" customHeight="1" s="14">
      <c r="A49" s="17" t="n">
        <v>48</v>
      </c>
      <c r="B49" s="17" t="inlineStr">
        <is>
          <t>Milán Tömösi</t>
        </is>
      </c>
      <c r="C49" s="18" t="n">
        <v>46498409</v>
      </c>
      <c r="D49" s="17" t="inlineStr">
        <is>
          <t>Magyarország</t>
        </is>
      </c>
      <c r="E49" s="17" t="n">
        <v>18</v>
      </c>
      <c r="F49" s="17" t="inlineStr">
        <is>
          <t>Yes (from draft season)</t>
        </is>
      </c>
      <c r="G49" s="17" t="inlineStr">
        <is>
          <t>hall of famer</t>
        </is>
      </c>
      <c r="H49" s="17" t="inlineStr">
        <is>
          <t>PG</t>
        </is>
      </c>
      <c r="I49" s="17" t="n">
        <v>183</v>
      </c>
      <c r="J49" s="17" t="n">
        <v>4</v>
      </c>
      <c r="K49" s="17" t="inlineStr">
        <is>
          <t>No</t>
        </is>
      </c>
      <c r="L49" s="19" t="n">
        <v>43404</v>
      </c>
      <c r="M49" s="20" t="n">
        <v>44444</v>
      </c>
      <c r="N49" s="19" t="n">
        <v>43451</v>
      </c>
      <c r="O49" s="20" t="n">
        <v>198000</v>
      </c>
      <c r="P49" s="20">
        <f>O49-M49</f>
        <v/>
      </c>
      <c r="Q49" s="21">
        <f>IF(M49=0,"",O49/M49)</f>
        <v/>
      </c>
      <c r="R49" s="22">
        <f>N49-L49</f>
        <v/>
      </c>
      <c r="S49" s="23" t="n">
        <v>4462</v>
      </c>
      <c r="T49" s="23" t="n">
        <v>4462</v>
      </c>
      <c r="U49" s="24">
        <f>M49/S49</f>
        <v/>
      </c>
      <c r="V49" s="24">
        <f>O49/S49</f>
        <v/>
      </c>
      <c r="W49" s="23" t="n">
        <v>12393</v>
      </c>
      <c r="X49" s="23" t="n">
        <v>17576</v>
      </c>
      <c r="Y49" s="23" t="n">
        <v>21176</v>
      </c>
      <c r="Z49" s="23" t="n">
        <v>22040</v>
      </c>
      <c r="AA49" s="25" t="n">
        <v>59</v>
      </c>
    </row>
    <row r="50" ht="15" customHeight="1" s="14">
      <c r="A50" s="17" t="n">
        <v>49</v>
      </c>
      <c r="B50" s="17" t="inlineStr">
        <is>
          <t>Fadil Hasna</t>
        </is>
      </c>
      <c r="C50" s="18" t="n">
        <v>46340566</v>
      </c>
      <c r="D50" s="17" t="inlineStr">
        <is>
          <t>Türkiye</t>
        </is>
      </c>
      <c r="E50" s="17" t="n">
        <v>19</v>
      </c>
      <c r="F50" s="17" t="inlineStr">
        <is>
          <t>Yes (from draft season)</t>
        </is>
      </c>
      <c r="G50" s="17" t="inlineStr">
        <is>
          <t>MVP</t>
        </is>
      </c>
      <c r="H50" s="17" t="inlineStr">
        <is>
          <t>SF</t>
        </is>
      </c>
      <c r="I50" s="17" t="n">
        <v>203</v>
      </c>
      <c r="J50" s="17" t="n">
        <v>8</v>
      </c>
      <c r="K50" s="17" t="inlineStr">
        <is>
          <t>No</t>
        </is>
      </c>
      <c r="L50" s="19" t="n">
        <v>43499</v>
      </c>
      <c r="M50" s="20" t="n">
        <v>44444</v>
      </c>
      <c r="N50" s="19" t="n">
        <v>43536</v>
      </c>
      <c r="O50" s="20" t="n">
        <v>307100</v>
      </c>
      <c r="P50" s="20">
        <f>O50-M50</f>
        <v/>
      </c>
      <c r="Q50" s="21">
        <f>IF(M50=0,"",O50/M50)</f>
        <v/>
      </c>
      <c r="R50" s="22">
        <f>N50-L50</f>
        <v/>
      </c>
      <c r="S50" s="23" t="n">
        <v>5968</v>
      </c>
      <c r="T50" s="23" t="n">
        <v>5968</v>
      </c>
      <c r="U50" s="24">
        <f>M50/S50</f>
        <v/>
      </c>
      <c r="V50" s="24">
        <f>O50/S50</f>
        <v/>
      </c>
      <c r="W50" s="23" t="n">
        <v>6888</v>
      </c>
      <c r="X50" s="23" t="n">
        <v>8030</v>
      </c>
      <c r="Y50" s="23" t="n">
        <v>9790</v>
      </c>
      <c r="Z50" s="23" t="n">
        <v>9799</v>
      </c>
      <c r="AA50" s="25" t="n">
        <v>53</v>
      </c>
    </row>
    <row r="51" ht="15" customHeight="1" s="14">
      <c r="A51" s="17" t="n">
        <v>50</v>
      </c>
      <c r="B51" s="17" t="inlineStr">
        <is>
          <t>Adam Minton</t>
        </is>
      </c>
      <c r="C51" s="18" t="n">
        <v>46861239</v>
      </c>
      <c r="D51" s="17" t="inlineStr">
        <is>
          <t>Utopia</t>
        </is>
      </c>
      <c r="E51" s="17" t="n">
        <v>18</v>
      </c>
      <c r="F51" s="17" t="inlineStr">
        <is>
          <t>Yes (from draft season)</t>
        </is>
      </c>
      <c r="G51" s="17" t="inlineStr">
        <is>
          <t>MVP</t>
        </is>
      </c>
      <c r="H51" s="17" t="inlineStr">
        <is>
          <t>C</t>
        </is>
      </c>
      <c r="I51" s="17" t="n">
        <v>193</v>
      </c>
      <c r="J51" s="17" t="n">
        <v>2</v>
      </c>
      <c r="K51" s="17" t="inlineStr">
        <is>
          <t>No</t>
        </is>
      </c>
      <c r="L51" s="19" t="n">
        <v>43500</v>
      </c>
      <c r="M51" s="20" t="n">
        <v>10000</v>
      </c>
      <c r="N51" s="19" t="n">
        <v>43535</v>
      </c>
      <c r="O51" s="20" t="n">
        <v>187000</v>
      </c>
      <c r="P51" s="20">
        <f>O51-M51</f>
        <v/>
      </c>
      <c r="Q51" s="21">
        <f>IF(M51=0,"",O51/M51)</f>
        <v/>
      </c>
      <c r="R51" s="22">
        <f>N51-L51</f>
        <v/>
      </c>
      <c r="S51" s="23" t="n">
        <v>3010</v>
      </c>
      <c r="T51" s="23" t="n">
        <v>3010</v>
      </c>
      <c r="U51" s="24">
        <f>M51/S51</f>
        <v/>
      </c>
      <c r="V51" s="24">
        <f>O51/S51</f>
        <v/>
      </c>
      <c r="W51" s="23" t="n">
        <v>2909</v>
      </c>
      <c r="X51" s="23" t="n">
        <v>2909</v>
      </c>
      <c r="Y51" s="23" t="n">
        <v>2909</v>
      </c>
      <c r="Z51" s="23" t="n">
        <v>3010</v>
      </c>
      <c r="AA51" s="25" t="n">
        <v>66</v>
      </c>
    </row>
    <row r="52" ht="15" customHeight="1" s="14">
      <c r="A52" s="17" t="n">
        <v>51</v>
      </c>
      <c r="B52" s="17" t="inlineStr">
        <is>
          <t>Bjarki Aðalgeirsson</t>
        </is>
      </c>
      <c r="C52" s="18" t="n">
        <v>46864760</v>
      </c>
      <c r="D52" s="17" t="inlineStr">
        <is>
          <t>Ísland</t>
        </is>
      </c>
      <c r="E52" s="17" t="n">
        <v>18</v>
      </c>
      <c r="F52" s="17" t="inlineStr">
        <is>
          <t>Yes (from draft season)</t>
        </is>
      </c>
      <c r="G52" s="17" t="inlineStr">
        <is>
          <t>MVP</t>
        </is>
      </c>
      <c r="H52" s="17" t="inlineStr">
        <is>
          <t>PG</t>
        </is>
      </c>
      <c r="I52" s="17" t="n">
        <v>201</v>
      </c>
      <c r="J52" s="17" t="n">
        <v>28</v>
      </c>
      <c r="K52" s="17" t="inlineStr">
        <is>
          <t>No</t>
        </is>
      </c>
      <c r="L52" s="19" t="n">
        <v>43500</v>
      </c>
      <c r="M52" s="20" t="n">
        <v>5000</v>
      </c>
      <c r="N52" s="19" t="n">
        <v>43556</v>
      </c>
      <c r="O52" s="20" t="n">
        <v>175000</v>
      </c>
      <c r="P52" s="20">
        <f>O52-M52</f>
        <v/>
      </c>
      <c r="Q52" s="21">
        <f>IF(M52=0,"",O52/M52)</f>
        <v/>
      </c>
      <c r="R52" s="22">
        <f>N52-L52</f>
        <v/>
      </c>
      <c r="S52" s="23" t="n">
        <v>2958</v>
      </c>
      <c r="T52" s="23" t="n">
        <v>2958</v>
      </c>
      <c r="U52" s="24">
        <f>M52/S52</f>
        <v/>
      </c>
      <c r="V52" s="24">
        <f>O52/S52</f>
        <v/>
      </c>
      <c r="W52" s="23" t="n">
        <v>3935</v>
      </c>
      <c r="X52" s="23" t="n">
        <v>4662</v>
      </c>
      <c r="Y52" s="23" t="n">
        <v>4664</v>
      </c>
      <c r="Z52" s="23" t="n">
        <v>4755</v>
      </c>
      <c r="AA52" s="25" t="n">
        <v>59</v>
      </c>
    </row>
    <row r="53" ht="15" customHeight="1" s="14">
      <c r="A53" s="17" t="n">
        <v>52</v>
      </c>
      <c r="B53" s="17" t="inlineStr">
        <is>
          <t>Oskar Frydrychowski</t>
        </is>
      </c>
      <c r="C53" s="18" t="n">
        <v>46817617</v>
      </c>
      <c r="D53" s="17" t="inlineStr">
        <is>
          <t>Polska</t>
        </is>
      </c>
      <c r="E53" s="17" t="n">
        <v>18</v>
      </c>
      <c r="F53" s="17" t="inlineStr">
        <is>
          <t>Yes (from draft season)</t>
        </is>
      </c>
      <c r="G53" s="17" t="inlineStr">
        <is>
          <t>hall of famer</t>
        </is>
      </c>
      <c r="H53" s="17" t="inlineStr">
        <is>
          <t>SF</t>
        </is>
      </c>
      <c r="I53" s="17" t="n">
        <v>183</v>
      </c>
      <c r="J53" s="17" t="n">
        <v>13</v>
      </c>
      <c r="K53" s="17" t="inlineStr">
        <is>
          <t>Yes</t>
        </is>
      </c>
      <c r="L53" s="19" t="n">
        <v>43500</v>
      </c>
      <c r="M53" s="20" t="n">
        <v>6000</v>
      </c>
      <c r="N53" s="19" t="n">
        <v>43527</v>
      </c>
      <c r="O53" s="20" t="n">
        <v>187000</v>
      </c>
      <c r="P53" s="20">
        <f>O53-M53</f>
        <v/>
      </c>
      <c r="Q53" s="21">
        <f>IF(M53=0,"",O53/M53)</f>
        <v/>
      </c>
      <c r="R53" s="22">
        <f>N53-L53</f>
        <v/>
      </c>
      <c r="S53" s="23" t="n">
        <v>3746</v>
      </c>
      <c r="T53" s="23" t="n">
        <v>3746</v>
      </c>
      <c r="U53" s="24">
        <f>M53/S53</f>
        <v/>
      </c>
      <c r="V53" s="24">
        <f>O53/S53</f>
        <v/>
      </c>
      <c r="W53" s="23" t="n">
        <v>7701</v>
      </c>
      <c r="X53" s="23" t="n">
        <v>9701</v>
      </c>
      <c r="Y53" s="23" t="n"/>
      <c r="Z53" s="23" t="n">
        <v>9701</v>
      </c>
      <c r="AA53" s="25" t="n">
        <v>51</v>
      </c>
    </row>
    <row r="54" ht="15" customHeight="1" s="14">
      <c r="A54" s="17" t="n">
        <v>53</v>
      </c>
      <c r="B54" s="17" t="inlineStr">
        <is>
          <t>Vincent Paul Comisyon</t>
        </is>
      </c>
      <c r="C54" s="18" t="n">
        <v>46861192</v>
      </c>
      <c r="D54" s="17" t="inlineStr">
        <is>
          <t>Utopia</t>
        </is>
      </c>
      <c r="E54" s="17" t="n">
        <v>18</v>
      </c>
      <c r="F54" s="17" t="inlineStr">
        <is>
          <t>Yes (from draft season)</t>
        </is>
      </c>
      <c r="G54" s="17" t="inlineStr">
        <is>
          <t>hall of famer</t>
        </is>
      </c>
      <c r="H54" s="17" t="inlineStr">
        <is>
          <t>SF</t>
        </is>
      </c>
      <c r="I54" s="17" t="n">
        <v>213</v>
      </c>
      <c r="J54" s="17" t="n">
        <v>30</v>
      </c>
      <c r="K54" s="17" t="inlineStr">
        <is>
          <t>Yes</t>
        </is>
      </c>
      <c r="L54" s="19" t="n">
        <v>43501</v>
      </c>
      <c r="M54" s="20" t="n">
        <v>17000</v>
      </c>
      <c r="N54" s="19" t="n">
        <v>43531</v>
      </c>
      <c r="O54" s="20" t="n">
        <v>350000</v>
      </c>
      <c r="P54" s="20">
        <f>O54-M54</f>
        <v/>
      </c>
      <c r="Q54" s="21">
        <f>IF(M54=0,"",O54/M54)</f>
        <v/>
      </c>
      <c r="R54" s="22">
        <f>N54-L54</f>
        <v/>
      </c>
      <c r="S54" s="23" t="n">
        <v>3336</v>
      </c>
      <c r="T54" s="23" t="n">
        <v>3336</v>
      </c>
      <c r="U54" s="24">
        <f>M54/S54</f>
        <v/>
      </c>
      <c r="V54" s="24">
        <f>O54/S54</f>
        <v/>
      </c>
      <c r="W54" s="23" t="n">
        <v>5702</v>
      </c>
      <c r="X54" s="23" t="n">
        <v>5702</v>
      </c>
      <c r="Y54" s="23" t="n">
        <v>5735</v>
      </c>
      <c r="Z54" s="23" t="n">
        <v>5797</v>
      </c>
      <c r="AA54" s="25" t="n">
        <v>59</v>
      </c>
    </row>
    <row r="55" ht="15" customHeight="1" s="14">
      <c r="A55" s="17" t="n">
        <v>54</v>
      </c>
      <c r="B55" s="17" t="inlineStr">
        <is>
          <t>Vladimir Dimitrov</t>
        </is>
      </c>
      <c r="C55" s="18" t="n">
        <v>46785024</v>
      </c>
      <c r="D55" s="17" t="inlineStr">
        <is>
          <t>Bulgaria</t>
        </is>
      </c>
      <c r="E55" s="17" t="n">
        <v>18</v>
      </c>
      <c r="F55" s="17" t="inlineStr">
        <is>
          <t>Yes (from draft season)</t>
        </is>
      </c>
      <c r="G55" s="17" t="inlineStr">
        <is>
          <t>hall of famer</t>
        </is>
      </c>
      <c r="H55" s="17" t="inlineStr">
        <is>
          <t>PG</t>
        </is>
      </c>
      <c r="I55" s="17" t="n">
        <v>198</v>
      </c>
      <c r="J55" s="17" t="n">
        <v>46</v>
      </c>
      <c r="K55" s="17" t="inlineStr">
        <is>
          <t>Yes</t>
        </is>
      </c>
      <c r="L55" s="19" t="n">
        <v>43503</v>
      </c>
      <c r="M55" s="20" t="n">
        <v>55400</v>
      </c>
      <c r="N55" s="19" t="n">
        <v>43524</v>
      </c>
      <c r="O55" s="20" t="n">
        <v>350000</v>
      </c>
      <c r="P55" s="20">
        <f>O55-M55</f>
        <v/>
      </c>
      <c r="Q55" s="21">
        <f>IF(M55=0,"",O55/M55)</f>
        <v/>
      </c>
      <c r="R55" s="22">
        <f>N55-L55</f>
        <v/>
      </c>
      <c r="S55" s="23" t="n">
        <v>3257</v>
      </c>
      <c r="T55" s="23" t="n">
        <v>3257</v>
      </c>
      <c r="U55" s="24">
        <f>M55/S55</f>
        <v/>
      </c>
      <c r="V55" s="24">
        <f>O55/S55</f>
        <v/>
      </c>
      <c r="W55" s="23" t="n"/>
      <c r="X55" s="23" t="n"/>
      <c r="Y55" s="23" t="n"/>
      <c r="Z55" s="23" t="n">
        <v>4358</v>
      </c>
      <c r="AA55" s="25" t="n">
        <v>48</v>
      </c>
    </row>
    <row r="56" ht="15" customHeight="1" s="14">
      <c r="A56" s="17" t="n">
        <v>55</v>
      </c>
      <c r="B56" s="17" t="inlineStr">
        <is>
          <t>Jason Hook</t>
        </is>
      </c>
      <c r="C56" s="18" t="n">
        <v>46861491</v>
      </c>
      <c r="D56" s="17" t="inlineStr">
        <is>
          <t>Utopia</t>
        </is>
      </c>
      <c r="E56" s="17" t="n">
        <v>19</v>
      </c>
      <c r="F56" s="17" t="inlineStr">
        <is>
          <t>Yes (from draft season)</t>
        </is>
      </c>
      <c r="G56" s="17" t="inlineStr">
        <is>
          <t>MVP</t>
        </is>
      </c>
      <c r="H56" s="17" t="inlineStr">
        <is>
          <t>PG</t>
        </is>
      </c>
      <c r="I56" s="17" t="n">
        <v>203</v>
      </c>
      <c r="J56" s="17" t="n">
        <v>8</v>
      </c>
      <c r="K56" s="17" t="inlineStr">
        <is>
          <t>No</t>
        </is>
      </c>
      <c r="L56" s="19" t="n">
        <v>43594</v>
      </c>
      <c r="M56" s="20" t="n">
        <v>80000</v>
      </c>
      <c r="N56" s="19" t="n">
        <v>43633</v>
      </c>
      <c r="O56" s="20" t="n">
        <v>333000</v>
      </c>
      <c r="P56" s="20">
        <f>O56-M56</f>
        <v/>
      </c>
      <c r="Q56" s="21">
        <f>IF(M56=0,"",O56/M56)</f>
        <v/>
      </c>
      <c r="R56" s="22">
        <f>N56-L56</f>
        <v/>
      </c>
      <c r="S56" s="23" t="n">
        <v>4837</v>
      </c>
      <c r="T56" s="23" t="n">
        <v>4837</v>
      </c>
      <c r="U56" s="24">
        <f>M56/S56</f>
        <v/>
      </c>
      <c r="V56" s="24">
        <f>O56/S56</f>
        <v/>
      </c>
      <c r="W56" s="23" t="n">
        <v>6846</v>
      </c>
      <c r="X56" s="23" t="n">
        <v>6847</v>
      </c>
      <c r="Y56" s="23" t="n">
        <v>6847</v>
      </c>
      <c r="Z56" s="23" t="n">
        <v>7815</v>
      </c>
      <c r="AA56" s="25" t="n">
        <v>58</v>
      </c>
    </row>
    <row r="57" ht="15" customHeight="1" s="14">
      <c r="A57" s="17" t="n">
        <v>56</v>
      </c>
      <c r="B57" s="17" t="inlineStr">
        <is>
          <t>Dagoberto Baltierra</t>
        </is>
      </c>
      <c r="C57" s="18" t="n">
        <v>47086592</v>
      </c>
      <c r="D57" s="17" t="inlineStr">
        <is>
          <t>México</t>
        </is>
      </c>
      <c r="E57" s="17" t="n">
        <v>18</v>
      </c>
      <c r="F57" s="17" t="inlineStr">
        <is>
          <t>Yes (from draft season)</t>
        </is>
      </c>
      <c r="G57" s="17" t="inlineStr">
        <is>
          <t>MVP</t>
        </is>
      </c>
      <c r="H57" s="17" t="inlineStr">
        <is>
          <t>PF</t>
        </is>
      </c>
      <c r="I57" s="17" t="n">
        <v>190</v>
      </c>
      <c r="J57" s="17" t="n">
        <v>12</v>
      </c>
      <c r="K57" s="17" t="inlineStr">
        <is>
          <t>Yes</t>
        </is>
      </c>
      <c r="L57" s="19" t="n">
        <v>43594</v>
      </c>
      <c r="M57" s="20" t="n">
        <v>28000</v>
      </c>
      <c r="N57" s="19" t="n">
        <v>43638</v>
      </c>
      <c r="O57" s="20" t="n">
        <v>190800</v>
      </c>
      <c r="P57" s="20">
        <f>O57-M57</f>
        <v/>
      </c>
      <c r="Q57" s="21">
        <f>IF(M57=0,"",O57/M57)</f>
        <v/>
      </c>
      <c r="R57" s="22">
        <f>N57-L57</f>
        <v/>
      </c>
      <c r="S57" s="23" t="n">
        <v>4226</v>
      </c>
      <c r="T57" s="23" t="n">
        <v>4226</v>
      </c>
      <c r="U57" s="24">
        <f>M57/S57</f>
        <v/>
      </c>
      <c r="V57" s="24">
        <f>O57/S57</f>
        <v/>
      </c>
      <c r="W57" s="23" t="n"/>
      <c r="X57" s="23" t="n"/>
      <c r="Y57" s="23" t="n"/>
      <c r="Z57" s="23" t="n">
        <v>4510</v>
      </c>
      <c r="AA57" s="25" t="n">
        <v>49</v>
      </c>
    </row>
    <row r="58" ht="15" customHeight="1" s="14">
      <c r="A58" s="17" t="n">
        <v>57</v>
      </c>
      <c r="B58" s="17" t="inlineStr">
        <is>
          <t>Florindo Vavassori</t>
        </is>
      </c>
      <c r="C58" s="18" t="n">
        <v>46984900</v>
      </c>
      <c r="D58" s="17" t="inlineStr">
        <is>
          <t>Italia</t>
        </is>
      </c>
      <c r="E58" s="17" t="n">
        <v>18</v>
      </c>
      <c r="F58" s="17" t="inlineStr">
        <is>
          <t>Yes (from draft season)</t>
        </is>
      </c>
      <c r="G58" s="17" t="inlineStr">
        <is>
          <t>hall of famer</t>
        </is>
      </c>
      <c r="H58" s="17" t="inlineStr">
        <is>
          <t>PF</t>
        </is>
      </c>
      <c r="I58" s="17" t="n">
        <v>196</v>
      </c>
      <c r="J58" s="17" t="n">
        <v>41</v>
      </c>
      <c r="K58" s="17" t="inlineStr">
        <is>
          <t>No</t>
        </is>
      </c>
      <c r="L58" s="19" t="n">
        <v>43595</v>
      </c>
      <c r="M58" s="20" t="n">
        <v>10000</v>
      </c>
      <c r="N58" s="19" t="n">
        <v>43619</v>
      </c>
      <c r="O58" s="20" t="n">
        <v>280600</v>
      </c>
      <c r="P58" s="20">
        <f>O58-M58</f>
        <v/>
      </c>
      <c r="Q58" s="21">
        <f>IF(M58=0,"",O58/M58)</f>
        <v/>
      </c>
      <c r="R58" s="22">
        <f>N58-L58</f>
        <v/>
      </c>
      <c r="S58" s="23" t="n">
        <v>4630</v>
      </c>
      <c r="T58" s="23" t="n">
        <v>4630</v>
      </c>
      <c r="U58" s="24">
        <f>M58/S58</f>
        <v/>
      </c>
      <c r="V58" s="24">
        <f>O58/S58</f>
        <v/>
      </c>
      <c r="W58" s="23" t="n">
        <v>7863</v>
      </c>
      <c r="X58" s="23" t="n">
        <v>9795</v>
      </c>
      <c r="Y58" s="23" t="n">
        <v>12575</v>
      </c>
      <c r="Z58" s="23" t="n">
        <v>13181</v>
      </c>
      <c r="AA58" s="25" t="n">
        <v>58</v>
      </c>
    </row>
    <row r="59" ht="15" customHeight="1" s="14">
      <c r="A59" s="17" t="n">
        <v>58</v>
      </c>
      <c r="B59" s="17" t="inlineStr">
        <is>
          <t>Mario Bergamin</t>
        </is>
      </c>
      <c r="C59" s="18" t="n">
        <v>46984823</v>
      </c>
      <c r="D59" s="17" t="inlineStr">
        <is>
          <t>Italia</t>
        </is>
      </c>
      <c r="E59" s="17" t="n">
        <v>18</v>
      </c>
      <c r="F59" s="17" t="inlineStr">
        <is>
          <t>Yes (from draft season)</t>
        </is>
      </c>
      <c r="G59" s="17" t="inlineStr">
        <is>
          <t>MVP</t>
        </is>
      </c>
      <c r="H59" s="17" t="inlineStr">
        <is>
          <t>PG</t>
        </is>
      </c>
      <c r="I59" s="17" t="n">
        <v>196</v>
      </c>
      <c r="J59" s="17" t="n">
        <v>26</v>
      </c>
      <c r="K59" s="17" t="inlineStr">
        <is>
          <t>Yes</t>
        </is>
      </c>
      <c r="L59" s="19" t="n">
        <v>43600</v>
      </c>
      <c r="M59" s="20" t="n">
        <v>10000</v>
      </c>
      <c r="N59" s="19" t="n">
        <v>43630</v>
      </c>
      <c r="O59" s="20" t="n">
        <v>175000</v>
      </c>
      <c r="P59" s="20">
        <f>O59-M59</f>
        <v/>
      </c>
      <c r="Q59" s="21">
        <f>IF(M59=0,"",O59/M59)</f>
        <v/>
      </c>
      <c r="R59" s="22">
        <f>N59-L59</f>
        <v/>
      </c>
      <c r="S59" s="23" t="n">
        <v>3624</v>
      </c>
      <c r="T59" s="23" t="n">
        <v>3624</v>
      </c>
      <c r="U59" s="24">
        <f>M59/S59</f>
        <v/>
      </c>
      <c r="V59" s="24">
        <f>O59/S59</f>
        <v/>
      </c>
      <c r="W59" s="23" t="n">
        <v>9933</v>
      </c>
      <c r="X59" s="23" t="n">
        <v>14479</v>
      </c>
      <c r="Y59" s="23" t="n">
        <v>15576</v>
      </c>
      <c r="Z59" s="23" t="n">
        <v>17331</v>
      </c>
      <c r="AA59" s="25" t="n">
        <v>63</v>
      </c>
    </row>
    <row r="60" ht="15" customHeight="1" s="14">
      <c r="A60" s="17" t="n">
        <v>59</v>
      </c>
      <c r="B60" s="17" t="inlineStr">
        <is>
          <t>Ville-Veikko Tuomenpuro</t>
        </is>
      </c>
      <c r="C60" s="18" t="n">
        <v>47151137</v>
      </c>
      <c r="D60" s="17" t="inlineStr">
        <is>
          <t>Suomi</t>
        </is>
      </c>
      <c r="E60" s="17" t="n">
        <v>18</v>
      </c>
      <c r="F60" s="17" t="inlineStr">
        <is>
          <t>Yes (from draft season)</t>
        </is>
      </c>
      <c r="G60" s="17" t="inlineStr">
        <is>
          <t>hall of famer</t>
        </is>
      </c>
      <c r="H60" s="17" t="inlineStr">
        <is>
          <t>PG</t>
        </is>
      </c>
      <c r="I60" s="17" t="n">
        <v>196</v>
      </c>
      <c r="J60" s="17" t="n">
        <v>11</v>
      </c>
      <c r="K60" s="17" t="inlineStr">
        <is>
          <t>No</t>
        </is>
      </c>
      <c r="L60" s="19" t="n">
        <v>43605</v>
      </c>
      <c r="M60" s="20" t="n">
        <v>108400</v>
      </c>
      <c r="N60" s="19" t="n">
        <v>43632</v>
      </c>
      <c r="O60" s="20" t="n">
        <v>475000</v>
      </c>
      <c r="P60" s="20">
        <f>O60-M60</f>
        <v/>
      </c>
      <c r="Q60" s="21">
        <f>IF(M60=0,"",O60/M60)</f>
        <v/>
      </c>
      <c r="R60" s="22">
        <f>N60-L60</f>
        <v/>
      </c>
      <c r="S60" s="23" t="n">
        <v>3660</v>
      </c>
      <c r="T60" s="23" t="n">
        <v>3660</v>
      </c>
      <c r="U60" s="24">
        <f>M60/S60</f>
        <v/>
      </c>
      <c r="V60" s="24">
        <f>O60/S60</f>
        <v/>
      </c>
      <c r="W60" s="23" t="n"/>
      <c r="X60" s="23" t="n"/>
      <c r="Y60" s="23" t="n"/>
      <c r="Z60" s="23" t="n">
        <v>3660</v>
      </c>
      <c r="AA60" s="25" t="n">
        <v>49</v>
      </c>
    </row>
    <row r="61" ht="15" customHeight="1" s="14">
      <c r="A61" s="17" t="n">
        <v>60</v>
      </c>
      <c r="B61" s="17" t="inlineStr">
        <is>
          <t>Ren Jacob</t>
        </is>
      </c>
      <c r="C61" s="18" t="n">
        <v>47478698</v>
      </c>
      <c r="D61" s="17" t="inlineStr">
        <is>
          <t>Utopia</t>
        </is>
      </c>
      <c r="E61" s="17" t="n">
        <v>18</v>
      </c>
      <c r="F61" s="17" t="inlineStr">
        <is>
          <t>Yes (from draft season)</t>
        </is>
      </c>
      <c r="G61" s="17" t="inlineStr">
        <is>
          <t>hall of famer</t>
        </is>
      </c>
      <c r="H61" s="17" t="inlineStr">
        <is>
          <t>PF</t>
        </is>
      </c>
      <c r="I61" s="17" t="n">
        <v>208</v>
      </c>
      <c r="J61" s="17" t="n">
        <v>12</v>
      </c>
      <c r="K61" s="17" t="inlineStr">
        <is>
          <t>No</t>
        </is>
      </c>
      <c r="L61" s="19" t="n">
        <v>43693</v>
      </c>
      <c r="M61" s="20" t="n">
        <v>78900</v>
      </c>
      <c r="N61" s="19" t="n">
        <v>43713</v>
      </c>
      <c r="O61" s="20" t="n">
        <v>393000</v>
      </c>
      <c r="P61" s="20">
        <f>O61-M61</f>
        <v/>
      </c>
      <c r="Q61" s="21">
        <f>IF(M61=0,"",O61/M61)</f>
        <v/>
      </c>
      <c r="R61" s="22">
        <f>N61-L61</f>
        <v/>
      </c>
      <c r="S61" s="23" t="n">
        <v>3165</v>
      </c>
      <c r="T61" s="23" t="n">
        <v>3165</v>
      </c>
      <c r="U61" s="24">
        <f>M61/S61</f>
        <v/>
      </c>
      <c r="V61" s="24">
        <f>O61/S61</f>
        <v/>
      </c>
      <c r="W61" s="23" t="n">
        <v>12027</v>
      </c>
      <c r="X61" s="23" t="n">
        <v>29510</v>
      </c>
      <c r="Y61" s="23" t="n">
        <v>36485</v>
      </c>
      <c r="Z61" s="23" t="n">
        <v>52180</v>
      </c>
      <c r="AA61" s="25" t="n">
        <v>59</v>
      </c>
    </row>
    <row r="62" ht="15" customHeight="1" s="14">
      <c r="A62" s="17" t="n">
        <v>61</v>
      </c>
      <c r="B62" s="17" t="inlineStr">
        <is>
          <t>Ge Dingren</t>
        </is>
      </c>
      <c r="C62" s="18" t="n">
        <v>46939723</v>
      </c>
      <c r="D62" s="17" t="inlineStr">
        <is>
          <t>China</t>
        </is>
      </c>
      <c r="E62" s="17" t="n">
        <v>19</v>
      </c>
      <c r="F62" s="17" t="inlineStr">
        <is>
          <t>Yes (from draft season)</t>
        </is>
      </c>
      <c r="G62" s="17" t="inlineStr">
        <is>
          <t>MVP</t>
        </is>
      </c>
      <c r="H62" s="17" t="inlineStr">
        <is>
          <t>PG</t>
        </is>
      </c>
      <c r="I62" s="17" t="n">
        <v>190</v>
      </c>
      <c r="J62" s="17" t="n">
        <v>7</v>
      </c>
      <c r="K62" s="17" t="inlineStr">
        <is>
          <t>No</t>
        </is>
      </c>
      <c r="L62" s="19" t="n">
        <v>43694</v>
      </c>
      <c r="M62" s="20" t="n">
        <v>100000</v>
      </c>
      <c r="N62" s="19" t="n">
        <v>43768</v>
      </c>
      <c r="O62" s="20" t="n">
        <v>255000</v>
      </c>
      <c r="P62" s="20">
        <f>O62-M62</f>
        <v/>
      </c>
      <c r="Q62" s="21">
        <f>IF(M62=0,"",O62/M62)</f>
        <v/>
      </c>
      <c r="R62" s="22">
        <f>N62-L62</f>
        <v/>
      </c>
      <c r="S62" s="23" t="n">
        <v>6277</v>
      </c>
      <c r="T62" s="23" t="n">
        <v>6277</v>
      </c>
      <c r="U62" s="24">
        <f>M62/S62</f>
        <v/>
      </c>
      <c r="V62" s="24">
        <f>O62/S62</f>
        <v/>
      </c>
      <c r="W62" s="23" t="n">
        <v>7863</v>
      </c>
      <c r="X62" s="23" t="n">
        <v>8311</v>
      </c>
      <c r="Y62" s="23" t="n"/>
      <c r="Z62" s="23" t="n">
        <v>8311</v>
      </c>
      <c r="AA62" s="25" t="n">
        <v>52</v>
      </c>
    </row>
    <row r="63" ht="15" customHeight="1" s="14">
      <c r="A63" s="17" t="n">
        <v>62</v>
      </c>
      <c r="B63" s="17" t="inlineStr">
        <is>
          <t>Melvin Pappas</t>
        </is>
      </c>
      <c r="C63" s="18" t="n">
        <v>47168290</v>
      </c>
      <c r="D63" s="17" t="inlineStr">
        <is>
          <t>Utopia</t>
        </is>
      </c>
      <c r="E63" s="17" t="n">
        <v>19</v>
      </c>
      <c r="F63" s="17" t="inlineStr">
        <is>
          <t>Yes (from draft season)</t>
        </is>
      </c>
      <c r="G63" s="17" t="inlineStr">
        <is>
          <t>superstar</t>
        </is>
      </c>
      <c r="H63" s="17" t="inlineStr">
        <is>
          <t>SF</t>
        </is>
      </c>
      <c r="I63" s="17" t="n">
        <v>201</v>
      </c>
      <c r="J63" s="17" t="n">
        <v>5</v>
      </c>
      <c r="K63" s="17" t="inlineStr">
        <is>
          <t>Yes</t>
        </is>
      </c>
      <c r="L63" s="19" t="n">
        <v>43694</v>
      </c>
      <c r="M63" s="20" t="n">
        <v>51000</v>
      </c>
      <c r="N63" s="19" t="n">
        <v>43752</v>
      </c>
      <c r="O63" s="20" t="n">
        <v>275000</v>
      </c>
      <c r="P63" s="20">
        <f>O63-M63</f>
        <v/>
      </c>
      <c r="Q63" s="21">
        <f>IF(M63=0,"",O63/M63)</f>
        <v/>
      </c>
      <c r="R63" s="22">
        <f>N63-L63</f>
        <v/>
      </c>
      <c r="S63" s="23" t="n">
        <v>3689</v>
      </c>
      <c r="T63" s="23" t="n">
        <v>3689</v>
      </c>
      <c r="U63" s="24">
        <f>M63/S63</f>
        <v/>
      </c>
      <c r="V63" s="24">
        <f>O63/S63</f>
        <v/>
      </c>
      <c r="W63" s="23" t="n"/>
      <c r="X63" s="23" t="n"/>
      <c r="Y63" s="23" t="n"/>
      <c r="Z63" s="23" t="n">
        <v>4248</v>
      </c>
      <c r="AA63" s="25" t="n">
        <v>49</v>
      </c>
    </row>
    <row r="64" ht="15" customHeight="1" s="14">
      <c r="A64" s="17" t="n">
        <v>63</v>
      </c>
      <c r="B64" s="17" t="inlineStr">
        <is>
          <t>Fernando Díaz de Ledesma</t>
        </is>
      </c>
      <c r="C64" s="18" t="n">
        <v>47268316</v>
      </c>
      <c r="D64" s="17" t="inlineStr">
        <is>
          <t>España</t>
        </is>
      </c>
      <c r="E64" s="17" t="n">
        <v>18</v>
      </c>
      <c r="F64" s="17" t="inlineStr">
        <is>
          <t>Yes (from draft season)</t>
        </is>
      </c>
      <c r="G64" s="17" t="inlineStr">
        <is>
          <t>hall of famer</t>
        </is>
      </c>
      <c r="H64" s="17" t="inlineStr">
        <is>
          <t>C</t>
        </is>
      </c>
      <c r="I64" s="17" t="n">
        <v>198</v>
      </c>
      <c r="J64" s="17" t="n">
        <v>35</v>
      </c>
      <c r="K64" s="17" t="inlineStr">
        <is>
          <t>No</t>
        </is>
      </c>
      <c r="L64" s="19" t="n">
        <v>43695</v>
      </c>
      <c r="M64" s="20" t="n">
        <v>67890</v>
      </c>
      <c r="N64" s="19" t="n">
        <v>43742</v>
      </c>
      <c r="O64" s="20" t="n">
        <v>198000</v>
      </c>
      <c r="P64" s="20">
        <f>O64-M64</f>
        <v/>
      </c>
      <c r="Q64" s="21">
        <f>IF(M64=0,"",O64/M64)</f>
        <v/>
      </c>
      <c r="R64" s="22">
        <f>N64-L64</f>
        <v/>
      </c>
      <c r="S64" s="23" t="n">
        <v>2995</v>
      </c>
      <c r="T64" s="23" t="n">
        <v>2995</v>
      </c>
      <c r="U64" s="24">
        <f>M64/S64</f>
        <v/>
      </c>
      <c r="V64" s="24">
        <f>O64/S64</f>
        <v/>
      </c>
      <c r="W64" s="23" t="n"/>
      <c r="X64" s="23" t="n"/>
      <c r="Y64" s="23" t="n"/>
      <c r="Z64" s="23" t="n">
        <v>2995</v>
      </c>
      <c r="AA64" s="25" t="n">
        <v>48</v>
      </c>
    </row>
    <row r="65" ht="15" customHeight="1" s="14">
      <c r="A65" s="17" t="n">
        <v>64</v>
      </c>
      <c r="B65" s="17" t="inlineStr">
        <is>
          <t>Zhang Chee Leng</t>
        </is>
      </c>
      <c r="C65" s="18" t="n">
        <v>47462539</v>
      </c>
      <c r="D65" s="17" t="inlineStr">
        <is>
          <t>Taiwan</t>
        </is>
      </c>
      <c r="E65" s="17" t="n">
        <v>18</v>
      </c>
      <c r="F65" s="17" t="inlineStr">
        <is>
          <t>Yes (from draft season)</t>
        </is>
      </c>
      <c r="G65" s="17" t="inlineStr">
        <is>
          <t>hall of famer</t>
        </is>
      </c>
      <c r="H65" s="17" t="inlineStr">
        <is>
          <t>PG</t>
        </is>
      </c>
      <c r="I65" s="17" t="n">
        <v>193</v>
      </c>
      <c r="J65" s="17" t="n">
        <v>2</v>
      </c>
      <c r="K65" s="17" t="inlineStr">
        <is>
          <t>Yes</t>
        </is>
      </c>
      <c r="L65" s="19" t="n">
        <v>43696</v>
      </c>
      <c r="M65" s="20" t="n">
        <v>108400</v>
      </c>
      <c r="N65" s="19" t="n">
        <v>43739</v>
      </c>
      <c r="O65" s="20" t="n">
        <v>393000</v>
      </c>
      <c r="P65" s="20">
        <f>O65-M65</f>
        <v/>
      </c>
      <c r="Q65" s="21">
        <f>IF(M65=0,"",O65/M65)</f>
        <v/>
      </c>
      <c r="R65" s="22">
        <f>N65-L65</f>
        <v/>
      </c>
      <c r="S65" s="23" t="n">
        <v>3645</v>
      </c>
      <c r="T65" s="23" t="n">
        <v>3645</v>
      </c>
      <c r="U65" s="24">
        <f>M65/S65</f>
        <v/>
      </c>
      <c r="V65" s="24">
        <f>O65/S65</f>
        <v/>
      </c>
      <c r="W65" s="23" t="n"/>
      <c r="X65" s="23" t="n"/>
      <c r="Y65" s="23" t="n"/>
      <c r="Z65" s="23" t="n">
        <v>3645</v>
      </c>
      <c r="AA65" s="25" t="n">
        <v>48</v>
      </c>
    </row>
    <row r="66" ht="15" customHeight="1" s="14">
      <c r="A66" s="17" t="n">
        <v>65</v>
      </c>
      <c r="B66" s="17" t="inlineStr">
        <is>
          <t>Pedro Santos</t>
        </is>
      </c>
      <c r="C66" s="18" t="n">
        <v>47356539</v>
      </c>
      <c r="D66" s="17" t="inlineStr">
        <is>
          <t>Portugal</t>
        </is>
      </c>
      <c r="E66" s="17" t="n">
        <v>18</v>
      </c>
      <c r="F66" s="17" t="inlineStr">
        <is>
          <t>Yes (from draft season)</t>
        </is>
      </c>
      <c r="G66" s="17" t="inlineStr">
        <is>
          <t>hall of famer</t>
        </is>
      </c>
      <c r="H66" s="17" t="inlineStr">
        <is>
          <t>C</t>
        </is>
      </c>
      <c r="I66" s="17" t="n">
        <v>201</v>
      </c>
      <c r="J66" s="17" t="n">
        <v>40</v>
      </c>
      <c r="K66" s="17" t="inlineStr">
        <is>
          <t>Yes</t>
        </is>
      </c>
      <c r="L66" s="19" t="n">
        <v>43696</v>
      </c>
      <c r="M66" s="20" t="n">
        <v>52100</v>
      </c>
      <c r="N66" s="19" t="n">
        <v>43714</v>
      </c>
      <c r="O66" s="20" t="n">
        <v>295000</v>
      </c>
      <c r="P66" s="20">
        <f>O66-M66</f>
        <v/>
      </c>
      <c r="Q66" s="21">
        <f>IF(M66=0,"",O66/M66)</f>
        <v/>
      </c>
      <c r="R66" s="22">
        <f>N66-L66</f>
        <v/>
      </c>
      <c r="S66" s="23" t="n">
        <v>2938</v>
      </c>
      <c r="T66" s="23" t="n">
        <v>2938</v>
      </c>
      <c r="U66" s="24">
        <f>M66/S66</f>
        <v/>
      </c>
      <c r="V66" s="24">
        <f>O66/S66</f>
        <v/>
      </c>
      <c r="W66" s="23" t="n">
        <v>6027</v>
      </c>
      <c r="X66" s="23" t="n">
        <v>8345</v>
      </c>
      <c r="Y66" s="23" t="n">
        <v>9176</v>
      </c>
      <c r="Z66" s="23" t="n">
        <v>9292</v>
      </c>
      <c r="AA66" s="25" t="n">
        <v>64</v>
      </c>
    </row>
    <row r="67" ht="15" customHeight="1" s="14">
      <c r="A67" s="17" t="n">
        <v>66</v>
      </c>
      <c r="B67" s="17" t="inlineStr">
        <is>
          <t>Rémy Mendes</t>
        </is>
      </c>
      <c r="C67" s="18" t="n">
        <v>47307403</v>
      </c>
      <c r="D67" s="17" t="inlineStr">
        <is>
          <t>France</t>
        </is>
      </c>
      <c r="E67" s="17" t="n">
        <v>18</v>
      </c>
      <c r="F67" s="17" t="inlineStr">
        <is>
          <t>Yes (from draft season)</t>
        </is>
      </c>
      <c r="G67" s="17" t="inlineStr">
        <is>
          <t>hall of famer</t>
        </is>
      </c>
      <c r="H67" s="17" t="inlineStr">
        <is>
          <t>SF</t>
        </is>
      </c>
      <c r="I67" s="17" t="n">
        <v>198</v>
      </c>
      <c r="J67" s="17" t="n">
        <v>43</v>
      </c>
      <c r="K67" s="17" t="inlineStr">
        <is>
          <t>Yes</t>
        </is>
      </c>
      <c r="L67" s="19" t="n">
        <v>43696</v>
      </c>
      <c r="M67" s="20" t="n">
        <v>23456</v>
      </c>
      <c r="N67" s="19" t="n">
        <v>43777</v>
      </c>
      <c r="O67" s="20" t="n">
        <v>87000</v>
      </c>
      <c r="P67" s="20">
        <f>O67-M67</f>
        <v/>
      </c>
      <c r="Q67" s="21">
        <f>IF(M67=0,"",O67/M67)</f>
        <v/>
      </c>
      <c r="R67" s="22">
        <f>N67-L67</f>
        <v/>
      </c>
      <c r="S67" s="23" t="n">
        <v>2798</v>
      </c>
      <c r="T67" s="23" t="n">
        <v>2798</v>
      </c>
      <c r="U67" s="24">
        <f>M67/S67</f>
        <v/>
      </c>
      <c r="V67" s="24">
        <f>O67/S67</f>
        <v/>
      </c>
      <c r="W67" s="23" t="n">
        <v>2767</v>
      </c>
      <c r="X67" s="23" t="n"/>
      <c r="Y67" s="23" t="n"/>
      <c r="Z67" s="23" t="n">
        <v>2798</v>
      </c>
      <c r="AA67" s="25" t="n">
        <v>51</v>
      </c>
    </row>
    <row r="68" ht="15" customHeight="1" s="14">
      <c r="A68" s="17" t="n">
        <v>67</v>
      </c>
      <c r="B68" s="17" t="inlineStr">
        <is>
          <t>Mauro Vivian</t>
        </is>
      </c>
      <c r="C68" s="18" t="n">
        <v>47602470</v>
      </c>
      <c r="D68" s="17" t="inlineStr">
        <is>
          <t>Italia</t>
        </is>
      </c>
      <c r="E68" s="17" t="n">
        <v>18</v>
      </c>
      <c r="F68" s="17" t="inlineStr">
        <is>
          <t>Yes (from draft season)</t>
        </is>
      </c>
      <c r="G68" s="17" t="inlineStr">
        <is>
          <t>hall of famer</t>
        </is>
      </c>
      <c r="H68" s="17" t="inlineStr">
        <is>
          <t>SF</t>
        </is>
      </c>
      <c r="I68" s="17" t="n">
        <v>196</v>
      </c>
      <c r="J68" s="17" t="n">
        <v>18</v>
      </c>
      <c r="K68" s="17" t="inlineStr">
        <is>
          <t>Yes</t>
        </is>
      </c>
      <c r="L68" s="19" t="n">
        <v>43791</v>
      </c>
      <c r="M68" s="20" t="n">
        <v>107500</v>
      </c>
      <c r="N68" s="19" t="n">
        <v>43847</v>
      </c>
      <c r="O68" s="20" t="n">
        <v>375000</v>
      </c>
      <c r="P68" s="20">
        <f>O68-M68</f>
        <v/>
      </c>
      <c r="Q68" s="21">
        <f>IF(M68=0,"",O68/M68)</f>
        <v/>
      </c>
      <c r="R68" s="22">
        <f>N68-L68</f>
        <v/>
      </c>
      <c r="S68" s="23" t="n">
        <v>4693</v>
      </c>
      <c r="T68" s="23" t="n">
        <v>4693</v>
      </c>
      <c r="U68" s="24">
        <f>M68/S68</f>
        <v/>
      </c>
      <c r="V68" s="24">
        <f>O68/S68</f>
        <v/>
      </c>
      <c r="W68" s="23" t="n">
        <v>4424</v>
      </c>
      <c r="X68" s="23" t="n">
        <v>4484</v>
      </c>
      <c r="Y68" s="23" t="n"/>
      <c r="Z68" s="23" t="n">
        <v>4693</v>
      </c>
      <c r="AA68" s="25" t="n">
        <v>54</v>
      </c>
    </row>
    <row r="69" ht="15" customHeight="1" s="14">
      <c r="A69" s="17" t="n">
        <v>68</v>
      </c>
      <c r="B69" s="17" t="inlineStr">
        <is>
          <t>Yannis Billy</t>
        </is>
      </c>
      <c r="C69" s="18" t="n">
        <v>47621291</v>
      </c>
      <c r="D69" s="17" t="inlineStr">
        <is>
          <t>France</t>
        </is>
      </c>
      <c r="E69" s="17" t="n">
        <v>18</v>
      </c>
      <c r="F69" s="17" t="inlineStr">
        <is>
          <t>Yes (from draft season)</t>
        </is>
      </c>
      <c r="G69" s="17" t="inlineStr">
        <is>
          <t>hall of famer</t>
        </is>
      </c>
      <c r="H69" s="17" t="inlineStr">
        <is>
          <t>PF</t>
        </is>
      </c>
      <c r="I69" s="17" t="n">
        <v>201</v>
      </c>
      <c r="J69" s="17" t="n">
        <v>15</v>
      </c>
      <c r="K69" s="17" t="inlineStr">
        <is>
          <t>Yes</t>
        </is>
      </c>
      <c r="L69" s="19" t="n">
        <v>43793</v>
      </c>
      <c r="M69" s="20" t="n">
        <v>75000</v>
      </c>
      <c r="N69" s="19" t="n">
        <v>43832</v>
      </c>
      <c r="O69" s="20" t="n">
        <v>301000</v>
      </c>
      <c r="P69" s="20">
        <f>O69-M69</f>
        <v/>
      </c>
      <c r="Q69" s="21">
        <f>IF(M69=0,"",O69/M69)</f>
        <v/>
      </c>
      <c r="R69" s="22">
        <f>N69-L69</f>
        <v/>
      </c>
      <c r="S69" s="23" t="n">
        <v>4665</v>
      </c>
      <c r="T69" s="23" t="n">
        <v>4665</v>
      </c>
      <c r="U69" s="24">
        <f>M69/S69</f>
        <v/>
      </c>
      <c r="V69" s="24">
        <f>O69/S69</f>
        <v/>
      </c>
      <c r="W69" s="23" t="n">
        <v>10520</v>
      </c>
      <c r="X69" s="23" t="n">
        <v>12718</v>
      </c>
      <c r="Y69" s="23" t="n">
        <v>16450</v>
      </c>
      <c r="Z69" s="23" t="n">
        <v>27904</v>
      </c>
      <c r="AA69" s="25" t="n">
        <v>67</v>
      </c>
    </row>
    <row r="70" ht="15" customHeight="1" s="14">
      <c r="A70" s="17" t="n">
        <v>69</v>
      </c>
      <c r="B70" s="17" t="inlineStr">
        <is>
          <t>Theofilos Solakidis</t>
        </is>
      </c>
      <c r="C70" s="18" t="n">
        <v>47324017</v>
      </c>
      <c r="D70" s="17" t="inlineStr">
        <is>
          <t>Hellas</t>
        </is>
      </c>
      <c r="E70" s="17" t="n">
        <v>19</v>
      </c>
      <c r="F70" s="17" t="inlineStr">
        <is>
          <t>Yes (from draft season)</t>
        </is>
      </c>
      <c r="G70" s="17" t="inlineStr">
        <is>
          <t>MVP</t>
        </is>
      </c>
      <c r="H70" s="17" t="inlineStr">
        <is>
          <t>SF</t>
        </is>
      </c>
      <c r="I70" s="17" t="n">
        <v>206</v>
      </c>
      <c r="J70" s="17" t="n">
        <v>47</v>
      </c>
      <c r="K70" s="17" t="inlineStr">
        <is>
          <t>No</t>
        </is>
      </c>
      <c r="L70" s="19" t="n">
        <v>43793</v>
      </c>
      <c r="M70" s="20" t="n">
        <v>77777</v>
      </c>
      <c r="N70" s="19" t="n">
        <v>43819</v>
      </c>
      <c r="O70" s="20" t="n">
        <v>375000</v>
      </c>
      <c r="P70" s="20">
        <f>O70-M70</f>
        <v/>
      </c>
      <c r="Q70" s="21">
        <f>IF(M70=0,"",O70/M70)</f>
        <v/>
      </c>
      <c r="R70" s="22">
        <f>N70-L70</f>
        <v/>
      </c>
      <c r="S70" s="23" t="n">
        <v>4533</v>
      </c>
      <c r="T70" s="23" t="n">
        <v>4533</v>
      </c>
      <c r="U70" s="24">
        <f>M70/S70</f>
        <v/>
      </c>
      <c r="V70" s="24">
        <f>O70/S70</f>
        <v/>
      </c>
      <c r="W70" s="23" t="n">
        <v>4786</v>
      </c>
      <c r="X70" s="23" t="n">
        <v>5067</v>
      </c>
      <c r="Y70" s="23" t="n"/>
      <c r="Z70" s="23" t="n">
        <v>5135</v>
      </c>
      <c r="AA70" s="25" t="n">
        <v>54</v>
      </c>
    </row>
    <row r="71" ht="15" customHeight="1" s="14">
      <c r="A71" s="17" t="n">
        <v>70</v>
      </c>
      <c r="B71" s="17" t="inlineStr">
        <is>
          <t>César Díaz de Campomanes</t>
        </is>
      </c>
      <c r="C71" s="18" t="n">
        <v>47583027</v>
      </c>
      <c r="D71" s="17" t="inlineStr">
        <is>
          <t>España</t>
        </is>
      </c>
      <c r="E71" s="17" t="n">
        <v>18</v>
      </c>
      <c r="F71" s="17" t="inlineStr">
        <is>
          <t>Yes (from draft season)</t>
        </is>
      </c>
      <c r="G71" s="17" t="inlineStr">
        <is>
          <t>hall of famer</t>
        </is>
      </c>
      <c r="H71" s="17" t="inlineStr">
        <is>
          <t>PG</t>
        </is>
      </c>
      <c r="I71" s="17" t="n">
        <v>196</v>
      </c>
      <c r="J71" s="17" t="n">
        <v>45</v>
      </c>
      <c r="K71" s="17" t="inlineStr">
        <is>
          <t>Yes</t>
        </is>
      </c>
      <c r="L71" s="19" t="n">
        <v>43793</v>
      </c>
      <c r="M71" s="20" t="n">
        <v>115700</v>
      </c>
      <c r="N71" s="19" t="n">
        <v>43843</v>
      </c>
      <c r="O71" s="20" t="n">
        <v>395000</v>
      </c>
      <c r="P71" s="20">
        <f>O71-M71</f>
        <v/>
      </c>
      <c r="Q71" s="21">
        <f>IF(M71=0,"",O71/M71)</f>
        <v/>
      </c>
      <c r="R71" s="22">
        <f>N71-L71</f>
        <v/>
      </c>
      <c r="S71" s="23" t="n">
        <v>3569</v>
      </c>
      <c r="T71" s="23" t="n">
        <v>3569</v>
      </c>
      <c r="U71" s="24">
        <f>M71/S71</f>
        <v/>
      </c>
      <c r="V71" s="24">
        <f>O71/S71</f>
        <v/>
      </c>
      <c r="W71" s="23" t="n">
        <v>5134</v>
      </c>
      <c r="X71" s="23" t="n">
        <v>5209</v>
      </c>
      <c r="Y71" s="23" t="n"/>
      <c r="Z71" s="23" t="n">
        <v>5544</v>
      </c>
      <c r="AA71" s="25" t="n">
        <v>55</v>
      </c>
    </row>
    <row r="72" ht="15" customHeight="1" s="14">
      <c r="A72" s="17" t="n">
        <v>71</v>
      </c>
      <c r="B72" s="17" t="inlineStr">
        <is>
          <t>Matej Korenčin</t>
        </is>
      </c>
      <c r="C72" s="18" t="n">
        <v>47766552</v>
      </c>
      <c r="D72" s="17" t="inlineStr">
        <is>
          <t>Slovenija</t>
        </is>
      </c>
      <c r="E72" s="17" t="n">
        <v>18</v>
      </c>
      <c r="F72" s="17" t="inlineStr">
        <is>
          <t>Yes (from draft season)</t>
        </is>
      </c>
      <c r="G72" s="17" t="inlineStr">
        <is>
          <t>hall of famer</t>
        </is>
      </c>
      <c r="H72" s="17" t="inlineStr">
        <is>
          <t>PF</t>
        </is>
      </c>
      <c r="I72" s="17" t="n">
        <v>198</v>
      </c>
      <c r="J72" s="17" t="n">
        <v>47</v>
      </c>
      <c r="K72" s="17" t="inlineStr">
        <is>
          <t>Yes</t>
        </is>
      </c>
      <c r="L72" s="19" t="n">
        <v>43794</v>
      </c>
      <c r="M72" s="20" t="n">
        <v>90000</v>
      </c>
      <c r="N72" s="19" t="n">
        <v>43831</v>
      </c>
      <c r="O72" s="20" t="n">
        <v>333000</v>
      </c>
      <c r="P72" s="20">
        <f>O72-M72</f>
        <v/>
      </c>
      <c r="Q72" s="21">
        <f>IF(M72=0,"",O72/M72)</f>
        <v/>
      </c>
      <c r="R72" s="22">
        <f>N72-L72</f>
        <v/>
      </c>
      <c r="S72" s="23" t="n">
        <v>2900</v>
      </c>
      <c r="T72" s="23" t="n">
        <v>2900</v>
      </c>
      <c r="U72" s="24">
        <f>M72/S72</f>
        <v/>
      </c>
      <c r="V72" s="24">
        <f>O72/S72</f>
        <v/>
      </c>
      <c r="W72" s="23" t="n"/>
      <c r="X72" s="23" t="n"/>
      <c r="Y72" s="23" t="n"/>
      <c r="Z72" s="23" t="n">
        <v>4363</v>
      </c>
      <c r="AA72" s="25" t="n">
        <v>50</v>
      </c>
    </row>
    <row r="73" ht="15" customHeight="1" s="14">
      <c r="A73" s="17" t="n">
        <v>72</v>
      </c>
      <c r="B73" s="17" t="inlineStr">
        <is>
          <t>Fredrik Liljenin</t>
        </is>
      </c>
      <c r="C73" s="18" t="n">
        <v>47601029</v>
      </c>
      <c r="D73" s="17" t="inlineStr">
        <is>
          <t>Sverige</t>
        </is>
      </c>
      <c r="E73" s="17" t="n">
        <v>18</v>
      </c>
      <c r="F73" s="17" t="inlineStr">
        <is>
          <t>Yes (from draft season)</t>
        </is>
      </c>
      <c r="G73" s="17" t="inlineStr">
        <is>
          <t>hall of famer</t>
        </is>
      </c>
      <c r="H73" s="17" t="inlineStr">
        <is>
          <t>SF</t>
        </is>
      </c>
      <c r="I73" s="17" t="n">
        <v>201</v>
      </c>
      <c r="J73" s="17" t="n">
        <v>47</v>
      </c>
      <c r="K73" s="17" t="inlineStr">
        <is>
          <t>Yes</t>
        </is>
      </c>
      <c r="L73" s="19" t="n">
        <v>43794</v>
      </c>
      <c r="M73" s="20" t="n">
        <v>77777</v>
      </c>
      <c r="N73" s="19" t="n">
        <v>43830</v>
      </c>
      <c r="O73" s="20" t="n">
        <v>298000</v>
      </c>
      <c r="P73" s="20">
        <f>O73-M73</f>
        <v/>
      </c>
      <c r="Q73" s="21">
        <f>IF(M73=0,"",O73/M73)</f>
        <v/>
      </c>
      <c r="R73" s="22">
        <f>N73-L73</f>
        <v/>
      </c>
      <c r="S73" s="23" t="n">
        <v>3448</v>
      </c>
      <c r="T73" s="23" t="n">
        <v>3448</v>
      </c>
      <c r="U73" s="24">
        <f>M73/S73</f>
        <v/>
      </c>
      <c r="V73" s="24">
        <f>O73/S73</f>
        <v/>
      </c>
      <c r="W73" s="23" t="n">
        <v>17730</v>
      </c>
      <c r="X73" s="23" t="n">
        <v>32436</v>
      </c>
      <c r="Y73" s="23" t="n">
        <v>48235</v>
      </c>
      <c r="Z73" s="23" t="n">
        <v>56752</v>
      </c>
      <c r="AA73" s="25" t="n">
        <v>67</v>
      </c>
    </row>
    <row r="74" ht="15" customHeight="1" s="14">
      <c r="A74" s="17" t="n">
        <v>73</v>
      </c>
      <c r="B74" s="17" t="inlineStr">
        <is>
          <t>Willie Eggleston</t>
        </is>
      </c>
      <c r="C74" s="18" t="n">
        <v>47838583</v>
      </c>
      <c r="D74" s="17" t="inlineStr">
        <is>
          <t>USA</t>
        </is>
      </c>
      <c r="E74" s="17" t="n">
        <v>18</v>
      </c>
      <c r="F74" s="17" t="inlineStr">
        <is>
          <t>Yes (from draft season)</t>
        </is>
      </c>
      <c r="G74" s="17" t="inlineStr">
        <is>
          <t>hall of famer</t>
        </is>
      </c>
      <c r="H74" s="17" t="inlineStr">
        <is>
          <t>PG</t>
        </is>
      </c>
      <c r="I74" s="17" t="n">
        <v>183</v>
      </c>
      <c r="J74" s="17" t="n">
        <v>16</v>
      </c>
      <c r="K74" s="17" t="inlineStr">
        <is>
          <t>No</t>
        </is>
      </c>
      <c r="L74" s="19" t="n">
        <v>43890</v>
      </c>
      <c r="M74" s="20" t="n">
        <v>55555</v>
      </c>
      <c r="N74" s="19" t="n">
        <v>43924</v>
      </c>
      <c r="O74" s="20" t="n">
        <v>275000</v>
      </c>
      <c r="P74" s="20">
        <f>O74-M74</f>
        <v/>
      </c>
      <c r="Q74" s="21">
        <f>IF(M74=0,"",O74/M74)</f>
        <v/>
      </c>
      <c r="R74" s="22">
        <f>N74-L74</f>
        <v/>
      </c>
      <c r="S74" s="23" t="n">
        <v>3209</v>
      </c>
      <c r="T74" s="23" t="n">
        <v>3209</v>
      </c>
      <c r="U74" s="24">
        <f>M74/S74</f>
        <v/>
      </c>
      <c r="V74" s="24">
        <f>O74/S74</f>
        <v/>
      </c>
      <c r="W74" s="23" t="n">
        <v>3478</v>
      </c>
      <c r="X74" s="23" t="n">
        <v>3627</v>
      </c>
      <c r="Y74" s="23" t="n">
        <v>3863</v>
      </c>
      <c r="Z74" s="23" t="n">
        <v>4705</v>
      </c>
      <c r="AA74" s="25" t="n">
        <v>72</v>
      </c>
    </row>
    <row r="75" ht="15" customHeight="1" s="14">
      <c r="A75" s="17" t="n">
        <v>74</v>
      </c>
      <c r="B75" s="17" t="inlineStr">
        <is>
          <t>Mariusz Szalapski</t>
        </is>
      </c>
      <c r="C75" s="18" t="n">
        <v>47746017</v>
      </c>
      <c r="D75" s="17" t="inlineStr">
        <is>
          <t>Polska</t>
        </is>
      </c>
      <c r="E75" s="17" t="n">
        <v>19</v>
      </c>
      <c r="F75" s="17" t="inlineStr">
        <is>
          <t>No</t>
        </is>
      </c>
      <c r="G75" s="17" t="inlineStr">
        <is>
          <t>hall of famer</t>
        </is>
      </c>
      <c r="H75" s="17" t="inlineStr">
        <is>
          <t>PG</t>
        </is>
      </c>
      <c r="I75" s="17" t="n">
        <v>185</v>
      </c>
      <c r="J75" s="17" t="n">
        <v>12</v>
      </c>
      <c r="K75" s="17" t="inlineStr">
        <is>
          <t>No</t>
        </is>
      </c>
      <c r="L75" s="19" t="n">
        <v>43890</v>
      </c>
      <c r="M75" s="20" t="n">
        <v>121200</v>
      </c>
      <c r="N75" s="19" t="n">
        <v>43913</v>
      </c>
      <c r="O75" s="20" t="n">
        <v>505000</v>
      </c>
      <c r="P75" s="20">
        <f>O75-M75</f>
        <v/>
      </c>
      <c r="Q75" s="21">
        <f>IF(M75=0,"",O75/M75)</f>
        <v/>
      </c>
      <c r="R75" s="22">
        <f>N75-L75</f>
        <v/>
      </c>
      <c r="S75" s="23" t="n">
        <v>5012</v>
      </c>
      <c r="T75" s="23" t="n">
        <v>5012</v>
      </c>
      <c r="U75" s="24">
        <f>M75/S75</f>
        <v/>
      </c>
      <c r="V75" s="24">
        <f>O75/S75</f>
        <v/>
      </c>
      <c r="W75" s="23" t="n">
        <v>9028</v>
      </c>
      <c r="X75" s="23" t="n">
        <v>9553</v>
      </c>
      <c r="Y75" s="23" t="n">
        <v>11468</v>
      </c>
      <c r="Z75" s="23" t="n">
        <v>13045</v>
      </c>
      <c r="AA75" s="25" t="n">
        <v>73</v>
      </c>
    </row>
    <row r="76" ht="15" customHeight="1" s="14">
      <c r="A76" s="17" t="n">
        <v>75</v>
      </c>
      <c r="B76" s="17" t="inlineStr">
        <is>
          <t>Vincentas Šatavicius</t>
        </is>
      </c>
      <c r="C76" s="18" t="n">
        <v>47982986</v>
      </c>
      <c r="D76" s="17" t="inlineStr">
        <is>
          <t>Lietuva</t>
        </is>
      </c>
      <c r="E76" s="17" t="n">
        <v>18</v>
      </c>
      <c r="F76" s="17" t="inlineStr">
        <is>
          <t>Yes (from draft season)</t>
        </is>
      </c>
      <c r="G76" s="17" t="inlineStr">
        <is>
          <t>hall of famer</t>
        </is>
      </c>
      <c r="H76" s="17" t="inlineStr">
        <is>
          <t>SF</t>
        </is>
      </c>
      <c r="I76" s="17" t="n">
        <v>193</v>
      </c>
      <c r="J76" s="17" t="n">
        <v>5</v>
      </c>
      <c r="K76" s="17" t="inlineStr">
        <is>
          <t>Yes</t>
        </is>
      </c>
      <c r="L76" s="19" t="n">
        <v>43895</v>
      </c>
      <c r="M76" s="20" t="n">
        <v>100000</v>
      </c>
      <c r="N76" s="19" t="n">
        <v>43915</v>
      </c>
      <c r="O76" s="20" t="n">
        <v>375000</v>
      </c>
      <c r="P76" s="20">
        <f>O76-M76</f>
        <v/>
      </c>
      <c r="Q76" s="21">
        <f>IF(M76=0,"",O76/M76)</f>
        <v/>
      </c>
      <c r="R76" s="22">
        <f>N76-L76</f>
        <v/>
      </c>
      <c r="S76" s="23" t="n">
        <v>3712</v>
      </c>
      <c r="T76" s="23" t="n">
        <v>3712</v>
      </c>
      <c r="U76" s="24">
        <f>M76/S76</f>
        <v/>
      </c>
      <c r="V76" s="24">
        <f>O76/S76</f>
        <v/>
      </c>
      <c r="W76" s="23" t="n">
        <v>8860</v>
      </c>
      <c r="X76" s="23" t="n">
        <v>9877</v>
      </c>
      <c r="Y76" s="23" t="n">
        <v>9877</v>
      </c>
      <c r="Z76" s="23" t="n">
        <v>9877</v>
      </c>
      <c r="AA76" s="25" t="n">
        <v>61</v>
      </c>
    </row>
    <row r="77" ht="15" customHeight="1" s="14">
      <c r="A77" s="17" t="n">
        <v>76</v>
      </c>
      <c r="B77" s="17" t="inlineStr">
        <is>
          <t>Ricardo Sánchez</t>
        </is>
      </c>
      <c r="C77" s="18" t="n">
        <v>48192833</v>
      </c>
      <c r="D77" s="17" t="inlineStr">
        <is>
          <t>España</t>
        </is>
      </c>
      <c r="E77" s="17" t="n">
        <v>18</v>
      </c>
      <c r="F77" s="17" t="inlineStr">
        <is>
          <t>Yes (from draft season)</t>
        </is>
      </c>
      <c r="G77" s="17" t="inlineStr">
        <is>
          <t>superstar</t>
        </is>
      </c>
      <c r="H77" s="17" t="inlineStr">
        <is>
          <t>SF</t>
        </is>
      </c>
      <c r="I77" s="17" t="n">
        <v>188</v>
      </c>
      <c r="J77" s="17" t="n">
        <v>27</v>
      </c>
      <c r="K77" s="17" t="inlineStr">
        <is>
          <t>Yes</t>
        </is>
      </c>
      <c r="L77" s="19" t="n">
        <v>43991</v>
      </c>
      <c r="M77" s="20" t="n">
        <v>7000</v>
      </c>
      <c r="N77" s="19" t="n">
        <v>44011</v>
      </c>
      <c r="O77" s="20" t="n">
        <v>130000</v>
      </c>
      <c r="P77" s="20">
        <f>O77-M77</f>
        <v/>
      </c>
      <c r="Q77" s="21">
        <f>IF(M77=0,"",O77/M77)</f>
        <v/>
      </c>
      <c r="R77" s="22">
        <f>N77-L77</f>
        <v/>
      </c>
      <c r="S77" s="23" t="n">
        <v>2389</v>
      </c>
      <c r="T77" s="23" t="n">
        <v>2389</v>
      </c>
      <c r="U77" s="24">
        <f>M77/S77</f>
        <v/>
      </c>
      <c r="V77" s="24">
        <f>O77/S77</f>
        <v/>
      </c>
      <c r="W77" s="23" t="n">
        <v>2775</v>
      </c>
      <c r="X77" s="23" t="n">
        <v>2845</v>
      </c>
      <c r="Y77" s="23" t="n">
        <v>2905</v>
      </c>
      <c r="Z77" s="23" t="n">
        <v>2972</v>
      </c>
      <c r="AA77" s="25" t="n">
        <v>61</v>
      </c>
    </row>
    <row r="78" ht="15" customHeight="1" s="14">
      <c r="A78" s="17" t="n">
        <v>77</v>
      </c>
      <c r="B78" s="17" t="inlineStr">
        <is>
          <t>Carles Alberich</t>
        </is>
      </c>
      <c r="C78" s="18" t="n">
        <v>48196453</v>
      </c>
      <c r="D78" s="17" t="inlineStr">
        <is>
          <t>España</t>
        </is>
      </c>
      <c r="E78" s="17" t="n">
        <v>18</v>
      </c>
      <c r="F78" s="17" t="inlineStr">
        <is>
          <t>Yes (from draft season)</t>
        </is>
      </c>
      <c r="G78" s="17" t="inlineStr">
        <is>
          <t>superstar</t>
        </is>
      </c>
      <c r="H78" s="17" t="inlineStr">
        <is>
          <t>SF</t>
        </is>
      </c>
      <c r="I78" s="17" t="n">
        <v>198</v>
      </c>
      <c r="J78" s="17" t="n">
        <v>13</v>
      </c>
      <c r="K78" s="17" t="inlineStr">
        <is>
          <t>Yes</t>
        </is>
      </c>
      <c r="L78" s="19" t="n">
        <v>43992</v>
      </c>
      <c r="M78" s="20" t="n">
        <v>2000</v>
      </c>
      <c r="N78" s="19" t="n">
        <v>44042</v>
      </c>
      <c r="O78" s="20" t="n">
        <v>98000</v>
      </c>
      <c r="P78" s="20">
        <f>O78-M78</f>
        <v/>
      </c>
      <c r="Q78" s="21">
        <f>IF(M78=0,"",O78/M78)</f>
        <v/>
      </c>
      <c r="R78" s="22">
        <f>N78-L78</f>
        <v/>
      </c>
      <c r="S78" s="23" t="n">
        <v>2905</v>
      </c>
      <c r="T78" s="23" t="n">
        <v>2905</v>
      </c>
      <c r="U78" s="24">
        <f>M78/S78</f>
        <v/>
      </c>
      <c r="V78" s="24">
        <f>O78/S78</f>
        <v/>
      </c>
      <c r="W78" s="23" t="n"/>
      <c r="X78" s="23" t="n"/>
      <c r="Y78" s="23" t="n"/>
      <c r="Z78" s="23" t="n">
        <v>3565</v>
      </c>
      <c r="AA78" s="25" t="n">
        <v>52</v>
      </c>
    </row>
    <row r="79" ht="15" customHeight="1" s="14">
      <c r="A79" s="17" t="n">
        <v>78</v>
      </c>
      <c r="B79" s="17" t="inlineStr">
        <is>
          <t>Filomonio Arias</t>
        </is>
      </c>
      <c r="C79" s="18" t="n">
        <v>48402258</v>
      </c>
      <c r="D79" s="17" t="inlineStr">
        <is>
          <t>Utopia</t>
        </is>
      </c>
      <c r="E79" s="17" t="n">
        <v>18</v>
      </c>
      <c r="F79" s="17" t="inlineStr">
        <is>
          <t>Yes (from draft season)</t>
        </is>
      </c>
      <c r="G79" s="17" t="inlineStr">
        <is>
          <t>superstar</t>
        </is>
      </c>
      <c r="H79" s="17" t="inlineStr">
        <is>
          <t>SG</t>
        </is>
      </c>
      <c r="I79" s="17" t="n">
        <v>193</v>
      </c>
      <c r="J79" s="17" t="n">
        <v>37</v>
      </c>
      <c r="K79" s="17" t="inlineStr">
        <is>
          <t>Yes</t>
        </is>
      </c>
      <c r="L79" s="19" t="n">
        <v>43992</v>
      </c>
      <c r="M79" s="20" t="n">
        <v>1000</v>
      </c>
      <c r="N79" s="19" t="n">
        <v>44042</v>
      </c>
      <c r="O79" s="20" t="n">
        <v>98000</v>
      </c>
      <c r="P79" s="20">
        <f>O79-M79</f>
        <v/>
      </c>
      <c r="Q79" s="21">
        <f>IF(M79=0,"",O79/M79)</f>
        <v/>
      </c>
      <c r="R79" s="22">
        <f>N79-L79</f>
        <v/>
      </c>
      <c r="S79" s="23" t="n">
        <v>3100</v>
      </c>
      <c r="T79" s="23" t="n">
        <v>3100</v>
      </c>
      <c r="U79" s="24">
        <f>M79/S79</f>
        <v/>
      </c>
      <c r="V79" s="24">
        <f>O79/S79</f>
        <v/>
      </c>
      <c r="W79" s="23" t="n"/>
      <c r="X79" s="23" t="n"/>
      <c r="Y79" s="23" t="n"/>
      <c r="Z79" s="23" t="n">
        <v>3100</v>
      </c>
      <c r="AA79" s="25" t="n">
        <v>52</v>
      </c>
    </row>
    <row r="80" ht="15" customHeight="1" s="14">
      <c r="A80" s="17" t="n">
        <v>79</v>
      </c>
      <c r="B80" s="17" t="inlineStr">
        <is>
          <t>Hasse Ericsson</t>
        </is>
      </c>
      <c r="C80" s="18" t="n">
        <v>47906107</v>
      </c>
      <c r="D80" s="17" t="inlineStr">
        <is>
          <t>Sverige</t>
        </is>
      </c>
      <c r="E80" s="17" t="n">
        <v>19</v>
      </c>
      <c r="F80" s="17" t="inlineStr">
        <is>
          <t>Yes (from draft season)</t>
        </is>
      </c>
      <c r="G80" s="17" t="inlineStr">
        <is>
          <t>superstar</t>
        </is>
      </c>
      <c r="H80" s="17" t="inlineStr">
        <is>
          <t>SG</t>
        </is>
      </c>
      <c r="I80" s="17" t="n">
        <v>190</v>
      </c>
      <c r="J80" s="17" t="n">
        <v>14</v>
      </c>
      <c r="K80" s="17" t="inlineStr">
        <is>
          <t>No</t>
        </is>
      </c>
      <c r="L80" s="19" t="n">
        <v>43992</v>
      </c>
      <c r="M80" s="20" t="n">
        <v>59000</v>
      </c>
      <c r="N80" s="19" t="n">
        <v>44022</v>
      </c>
      <c r="O80" s="20" t="n">
        <v>275000</v>
      </c>
      <c r="P80" s="20">
        <f>O80-M80</f>
        <v/>
      </c>
      <c r="Q80" s="21">
        <f>IF(M80=0,"",O80/M80)</f>
        <v/>
      </c>
      <c r="R80" s="22">
        <f>N80-L80</f>
        <v/>
      </c>
      <c r="S80" s="23" t="n">
        <v>4662</v>
      </c>
      <c r="T80" s="23" t="n">
        <v>4662</v>
      </c>
      <c r="U80" s="24">
        <f>M80/S80</f>
        <v/>
      </c>
      <c r="V80" s="24">
        <f>O80/S80</f>
        <v/>
      </c>
      <c r="W80" s="23" t="n">
        <v>5696</v>
      </c>
      <c r="X80" s="23" t="n">
        <v>7040</v>
      </c>
      <c r="Y80" s="23" t="n">
        <v>7922</v>
      </c>
      <c r="Z80" s="23" t="n">
        <v>10461</v>
      </c>
      <c r="AA80" s="25" t="n">
        <v>66</v>
      </c>
    </row>
    <row r="81" ht="15" customHeight="1" s="14">
      <c r="A81" s="17" t="n">
        <v>80</v>
      </c>
      <c r="B81" s="17" t="inlineStr">
        <is>
          <t>Drasunas Ruškys</t>
        </is>
      </c>
      <c r="C81" s="18" t="n">
        <v>48290910</v>
      </c>
      <c r="D81" s="17" t="inlineStr">
        <is>
          <t>Lietuva</t>
        </is>
      </c>
      <c r="E81" s="17" t="n">
        <v>18</v>
      </c>
      <c r="F81" s="17" t="inlineStr">
        <is>
          <t>Yes (from draft season)</t>
        </is>
      </c>
      <c r="G81" s="17" t="inlineStr">
        <is>
          <t>superstar</t>
        </is>
      </c>
      <c r="H81" s="17" t="inlineStr">
        <is>
          <t>SF</t>
        </is>
      </c>
      <c r="I81" s="17" t="n">
        <v>183</v>
      </c>
      <c r="J81" s="17" t="n">
        <v>30</v>
      </c>
      <c r="K81" s="17" t="inlineStr">
        <is>
          <t>Yes</t>
        </is>
      </c>
      <c r="L81" s="19" t="n">
        <v>43992</v>
      </c>
      <c r="M81" s="20" t="n">
        <v>7000</v>
      </c>
      <c r="N81" s="19" t="n">
        <v>44047</v>
      </c>
      <c r="O81" s="20" t="n">
        <v>98000</v>
      </c>
      <c r="P81" s="20">
        <f>O81-M81</f>
        <v/>
      </c>
      <c r="Q81" s="21">
        <f>IF(M81=0,"",O81/M81)</f>
        <v/>
      </c>
      <c r="R81" s="22">
        <f>N81-L81</f>
        <v/>
      </c>
      <c r="S81" s="23" t="n">
        <v>2832</v>
      </c>
      <c r="T81" s="23" t="n">
        <v>2832</v>
      </c>
      <c r="U81" s="24">
        <f>M81/S81</f>
        <v/>
      </c>
      <c r="V81" s="24">
        <f>O81/S81</f>
        <v/>
      </c>
      <c r="W81" s="23" t="n"/>
      <c r="X81" s="23" t="n"/>
      <c r="Y81" s="23" t="n"/>
      <c r="Z81" s="23" t="n">
        <v>3199</v>
      </c>
      <c r="AA81" s="25" t="n">
        <v>51</v>
      </c>
    </row>
    <row r="82" ht="15" customHeight="1" s="14">
      <c r="A82" s="17" t="n">
        <v>81</v>
      </c>
      <c r="B82" s="17" t="inlineStr">
        <is>
          <t>Zhu Rufan</t>
        </is>
      </c>
      <c r="C82" s="18" t="n">
        <v>48092898</v>
      </c>
      <c r="D82" s="17" t="inlineStr">
        <is>
          <t>Utopia</t>
        </is>
      </c>
      <c r="E82" s="17" t="n">
        <v>19</v>
      </c>
      <c r="F82" s="17" t="inlineStr">
        <is>
          <t>Yes (from draft season)</t>
        </is>
      </c>
      <c r="G82" s="17" t="inlineStr">
        <is>
          <t>MVP</t>
        </is>
      </c>
      <c r="H82" s="17" t="inlineStr">
        <is>
          <t>PF</t>
        </is>
      </c>
      <c r="I82" s="17" t="n">
        <v>203</v>
      </c>
      <c r="J82" s="17" t="n">
        <v>4</v>
      </c>
      <c r="K82" s="17" t="inlineStr">
        <is>
          <t>No</t>
        </is>
      </c>
      <c r="L82" s="19" t="n">
        <v>43993</v>
      </c>
      <c r="M82" s="20" t="n">
        <v>22222</v>
      </c>
      <c r="N82" s="19" t="n">
        <v>44019</v>
      </c>
      <c r="O82" s="20" t="n">
        <v>195000</v>
      </c>
      <c r="P82" s="20">
        <f>O82-M82</f>
        <v/>
      </c>
      <c r="Q82" s="21">
        <f>IF(M82=0,"",O82/M82)</f>
        <v/>
      </c>
      <c r="R82" s="22">
        <f>N82-L82</f>
        <v/>
      </c>
      <c r="S82" s="23" t="n">
        <v>3083</v>
      </c>
      <c r="T82" s="23" t="n">
        <v>3083</v>
      </c>
      <c r="U82" s="24">
        <f>M82/S82</f>
        <v/>
      </c>
      <c r="V82" s="24">
        <f>O82/S82</f>
        <v/>
      </c>
      <c r="W82" s="23" t="n">
        <v>6222</v>
      </c>
      <c r="X82" s="23" t="n">
        <v>7561</v>
      </c>
      <c r="Y82" s="23" t="n">
        <v>8205</v>
      </c>
      <c r="Z82" s="23" t="n">
        <v>8205</v>
      </c>
      <c r="AA82" s="25" t="n">
        <v>57</v>
      </c>
    </row>
    <row r="83" ht="15" customHeight="1" s="14">
      <c r="A83" s="17" t="n">
        <v>82</v>
      </c>
      <c r="B83" s="17" t="inlineStr">
        <is>
          <t>Dobbie Satosa</t>
        </is>
      </c>
      <c r="C83" s="18" t="n">
        <v>48046708</v>
      </c>
      <c r="D83" s="17" t="inlineStr">
        <is>
          <t>Pilipinas</t>
        </is>
      </c>
      <c r="E83" s="17" t="n">
        <v>19</v>
      </c>
      <c r="F83" s="17" t="inlineStr">
        <is>
          <t>Yes (from draft season)</t>
        </is>
      </c>
      <c r="G83" s="17" t="inlineStr">
        <is>
          <t>superstar</t>
        </is>
      </c>
      <c r="H83" s="17" t="inlineStr">
        <is>
          <t>SF</t>
        </is>
      </c>
      <c r="I83" s="17" t="n">
        <v>190</v>
      </c>
      <c r="J83" s="17" t="n">
        <v>25</v>
      </c>
      <c r="K83" s="17" t="inlineStr">
        <is>
          <t>No</t>
        </is>
      </c>
      <c r="L83" s="19" t="n">
        <v>43993</v>
      </c>
      <c r="M83" s="20" t="n">
        <v>44000</v>
      </c>
      <c r="N83" s="19" t="n">
        <v>44019</v>
      </c>
      <c r="O83" s="20" t="n">
        <v>250000</v>
      </c>
      <c r="P83" s="20">
        <f>O83-M83</f>
        <v/>
      </c>
      <c r="Q83" s="21">
        <f>IF(M83=0,"",O83/M83)</f>
        <v/>
      </c>
      <c r="R83" s="22">
        <f>N83-L83</f>
        <v/>
      </c>
      <c r="S83" s="23" t="n">
        <v>5720</v>
      </c>
      <c r="T83" s="23" t="n">
        <v>5720</v>
      </c>
      <c r="U83" s="24">
        <f>M83/S83</f>
        <v/>
      </c>
      <c r="V83" s="24">
        <f>O83/S83</f>
        <v/>
      </c>
      <c r="W83" s="23" t="n">
        <v>12479</v>
      </c>
      <c r="X83" s="23" t="n">
        <v>15869</v>
      </c>
      <c r="Y83" s="23" t="n">
        <v>16873</v>
      </c>
      <c r="Z83" s="23" t="n">
        <v>20111</v>
      </c>
      <c r="AA83" s="25" t="n">
        <v>68</v>
      </c>
    </row>
    <row r="84" ht="15" customHeight="1" s="14">
      <c r="A84" s="17" t="n">
        <v>83</v>
      </c>
      <c r="B84" s="17" t="inlineStr">
        <is>
          <t>Fernando Horroalde</t>
        </is>
      </c>
      <c r="C84" s="18" t="n">
        <v>48483679</v>
      </c>
      <c r="D84" s="17" t="inlineStr">
        <is>
          <t>Argentina</t>
        </is>
      </c>
      <c r="E84" s="17" t="n">
        <v>18</v>
      </c>
      <c r="F84" s="17" t="inlineStr">
        <is>
          <t>Yes (from draft season)</t>
        </is>
      </c>
      <c r="G84" s="17" t="inlineStr">
        <is>
          <t>hall of famer</t>
        </is>
      </c>
      <c r="H84" s="17" t="inlineStr">
        <is>
          <t>PG</t>
        </is>
      </c>
      <c r="I84" s="17" t="n">
        <v>193</v>
      </c>
      <c r="J84" s="17" t="n">
        <v>22</v>
      </c>
      <c r="K84" s="17" t="inlineStr">
        <is>
          <t>Yes</t>
        </is>
      </c>
      <c r="L84" s="19" t="n">
        <v>44084</v>
      </c>
      <c r="M84" s="20" t="n">
        <v>12000</v>
      </c>
      <c r="N84" s="19" t="n">
        <v>44119</v>
      </c>
      <c r="O84" s="20" t="n">
        <v>300000</v>
      </c>
      <c r="P84" s="20">
        <f>O84-M84</f>
        <v/>
      </c>
      <c r="Q84" s="21">
        <f>IF(M84=0,"",O84/M84)</f>
        <v/>
      </c>
      <c r="R84" s="22">
        <f>N84-L84</f>
        <v/>
      </c>
      <c r="S84" s="23" t="n">
        <v>2770</v>
      </c>
      <c r="T84" s="23" t="n">
        <v>2770</v>
      </c>
      <c r="U84" s="24">
        <f>M84/S84</f>
        <v/>
      </c>
      <c r="V84" s="24">
        <f>O84/S84</f>
        <v/>
      </c>
      <c r="W84" s="23" t="n"/>
      <c r="X84" s="23" t="n"/>
      <c r="Y84" s="23" t="n"/>
      <c r="Z84" s="23" t="n">
        <v>2770</v>
      </c>
      <c r="AA84" s="25" t="n">
        <v>52</v>
      </c>
    </row>
    <row r="85" ht="15" customHeight="1" s="14">
      <c r="A85" s="17" t="n">
        <v>84</v>
      </c>
      <c r="B85" s="17" t="inlineStr">
        <is>
          <t>Luca Chinaglia</t>
        </is>
      </c>
      <c r="C85" s="18" t="n">
        <v>48538719</v>
      </c>
      <c r="D85" s="17" t="inlineStr">
        <is>
          <t>Italia</t>
        </is>
      </c>
      <c r="E85" s="17" t="n">
        <v>18</v>
      </c>
      <c r="F85" s="17" t="inlineStr">
        <is>
          <t>Yes (from draft season)</t>
        </is>
      </c>
      <c r="G85" s="17" t="inlineStr">
        <is>
          <t>MVP</t>
        </is>
      </c>
      <c r="H85" s="17" t="inlineStr">
        <is>
          <t>PF</t>
        </is>
      </c>
      <c r="I85" s="17" t="n">
        <v>183</v>
      </c>
      <c r="J85" s="17" t="n">
        <v>24</v>
      </c>
      <c r="K85" s="17" t="inlineStr">
        <is>
          <t>Yes</t>
        </is>
      </c>
      <c r="L85" s="19" t="n">
        <v>44084</v>
      </c>
      <c r="M85" s="20" t="n">
        <v>8000</v>
      </c>
      <c r="N85" s="19" t="n">
        <v>44160</v>
      </c>
      <c r="O85" s="20" t="n">
        <v>75000</v>
      </c>
      <c r="P85" s="20">
        <f>O85-M85</f>
        <v/>
      </c>
      <c r="Q85" s="21">
        <f>IF(M85=0,"",O85/M85)</f>
        <v/>
      </c>
      <c r="R85" s="22">
        <f>N85-L85</f>
        <v/>
      </c>
      <c r="S85" s="23" t="n">
        <v>2741</v>
      </c>
      <c r="T85" s="23" t="n">
        <v>2741</v>
      </c>
      <c r="U85" s="24">
        <f>M85/S85</f>
        <v/>
      </c>
      <c r="V85" s="24">
        <f>O85/S85</f>
        <v/>
      </c>
      <c r="W85" s="23" t="n"/>
      <c r="X85" s="23" t="n"/>
      <c r="Y85" s="23" t="n"/>
      <c r="Z85" s="23" t="n">
        <v>2741</v>
      </c>
      <c r="AA85" s="25" t="n">
        <v>52</v>
      </c>
    </row>
    <row r="86" ht="15" customHeight="1" s="14">
      <c r="A86" s="17" t="n">
        <v>85</v>
      </c>
      <c r="B86" s="17" t="inlineStr">
        <is>
          <t>Mariusz Padziak</t>
        </is>
      </c>
      <c r="C86" s="18" t="n">
        <v>48681700</v>
      </c>
      <c r="D86" s="17" t="inlineStr">
        <is>
          <t>Polska</t>
        </is>
      </c>
      <c r="E86" s="17" t="n">
        <v>18</v>
      </c>
      <c r="F86" s="17" t="inlineStr">
        <is>
          <t>Yes (from draft season)</t>
        </is>
      </c>
      <c r="G86" s="17" t="inlineStr">
        <is>
          <t>MVP</t>
        </is>
      </c>
      <c r="H86" s="17" t="inlineStr">
        <is>
          <t>C</t>
        </is>
      </c>
      <c r="I86" s="17" t="n">
        <v>198</v>
      </c>
      <c r="J86" s="17" t="n">
        <v>24</v>
      </c>
      <c r="K86" s="17" t="inlineStr">
        <is>
          <t>Yes</t>
        </is>
      </c>
      <c r="L86" s="19" t="n">
        <v>44086</v>
      </c>
      <c r="M86" s="20" t="n">
        <v>1000</v>
      </c>
      <c r="N86" s="19" t="n">
        <v>44163</v>
      </c>
      <c r="O86" s="20" t="n">
        <v>75000</v>
      </c>
      <c r="P86" s="20">
        <f>O86-M86</f>
        <v/>
      </c>
      <c r="Q86" s="21">
        <f>IF(M86=0,"",O86/M86)</f>
        <v/>
      </c>
      <c r="R86" s="22">
        <f>N86-L86</f>
        <v/>
      </c>
      <c r="S86" s="23" t="n">
        <v>3075</v>
      </c>
      <c r="T86" s="23" t="n">
        <v>3075</v>
      </c>
      <c r="U86" s="24">
        <f>M86/S86</f>
        <v/>
      </c>
      <c r="V86" s="24">
        <f>O86/S86</f>
        <v/>
      </c>
      <c r="W86" s="23" t="n"/>
      <c r="X86" s="23" t="n"/>
      <c r="Y86" s="23" t="n"/>
      <c r="Z86" s="23" t="n">
        <v>3075</v>
      </c>
      <c r="AA86" s="25" t="n">
        <v>53</v>
      </c>
    </row>
    <row r="87" ht="15" customHeight="1" s="14">
      <c r="A87" s="17" t="n">
        <v>86</v>
      </c>
      <c r="B87" s="17" t="inlineStr">
        <is>
          <t>Alexander Ziegler</t>
        </is>
      </c>
      <c r="C87" s="18" t="n">
        <v>48402838</v>
      </c>
      <c r="D87" s="17" t="inlineStr">
        <is>
          <t>Utopia</t>
        </is>
      </c>
      <c r="E87" s="17" t="n">
        <v>19</v>
      </c>
      <c r="F87" s="17" t="inlineStr">
        <is>
          <t>Yes (from draft season)</t>
        </is>
      </c>
      <c r="G87" s="17" t="inlineStr">
        <is>
          <t>hall of famer</t>
        </is>
      </c>
      <c r="H87" s="17" t="inlineStr">
        <is>
          <t>PG</t>
        </is>
      </c>
      <c r="I87" s="17" t="n">
        <v>190</v>
      </c>
      <c r="J87" s="17" t="n">
        <v>21</v>
      </c>
      <c r="K87" s="17" t="inlineStr">
        <is>
          <t>No</t>
        </is>
      </c>
      <c r="L87" s="19" t="n">
        <v>44087</v>
      </c>
      <c r="M87" s="20" t="n">
        <v>86800</v>
      </c>
      <c r="N87" s="19" t="n">
        <v>44165</v>
      </c>
      <c r="O87" s="20" t="n">
        <v>175000</v>
      </c>
      <c r="P87" s="20">
        <f>O87-M87</f>
        <v/>
      </c>
      <c r="Q87" s="21">
        <f>IF(M87=0,"",O87/M87)</f>
        <v/>
      </c>
      <c r="R87" s="22">
        <f>N87-L87</f>
        <v/>
      </c>
      <c r="S87" s="23" t="n">
        <v>4459</v>
      </c>
      <c r="T87" s="23" t="n">
        <v>4459</v>
      </c>
      <c r="U87" s="24">
        <f>M87/S87</f>
        <v/>
      </c>
      <c r="V87" s="24">
        <f>O87/S87</f>
        <v/>
      </c>
      <c r="W87" s="23" t="n">
        <v>8967</v>
      </c>
      <c r="X87" s="23" t="n">
        <v>8967</v>
      </c>
      <c r="Y87" s="23" t="n">
        <v>10654</v>
      </c>
      <c r="Z87" s="23" t="n">
        <v>14486</v>
      </c>
      <c r="AA87" s="25" t="n">
        <v>62</v>
      </c>
    </row>
    <row r="88" ht="15" customHeight="1" s="14">
      <c r="A88" s="17" t="n">
        <v>87</v>
      </c>
      <c r="B88" s="17" t="inlineStr">
        <is>
          <t>Dustin Whaley</t>
        </is>
      </c>
      <c r="C88" s="18" t="n">
        <v>48724116</v>
      </c>
      <c r="D88" s="17" t="inlineStr">
        <is>
          <t>Utopia</t>
        </is>
      </c>
      <c r="E88" s="17" t="n">
        <v>18</v>
      </c>
      <c r="F88" s="17" t="inlineStr">
        <is>
          <t>Yes (from draft season)</t>
        </is>
      </c>
      <c r="G88" s="17" t="inlineStr">
        <is>
          <t>hall of famer</t>
        </is>
      </c>
      <c r="H88" s="17" t="inlineStr">
        <is>
          <t>PG</t>
        </is>
      </c>
      <c r="I88" s="17" t="n">
        <v>185</v>
      </c>
      <c r="J88" s="17" t="n">
        <v>9</v>
      </c>
      <c r="K88" s="17" t="inlineStr">
        <is>
          <t>No</t>
        </is>
      </c>
      <c r="L88" s="19" t="n">
        <v>44087</v>
      </c>
      <c r="M88" s="20" t="n">
        <v>50000</v>
      </c>
      <c r="N88" s="19" t="n">
        <v>44159</v>
      </c>
      <c r="O88" s="20" t="n">
        <v>100000</v>
      </c>
      <c r="P88" s="20">
        <f>O88-M88</f>
        <v/>
      </c>
      <c r="Q88" s="21">
        <f>IF(M88=0,"",O88/M88)</f>
        <v/>
      </c>
      <c r="R88" s="22">
        <f>N88-L88</f>
        <v/>
      </c>
      <c r="S88" s="23" t="n">
        <v>3009</v>
      </c>
      <c r="T88" s="23" t="n">
        <v>3009</v>
      </c>
      <c r="U88" s="24">
        <f>M88/S88</f>
        <v/>
      </c>
      <c r="V88" s="24">
        <f>O88/S88</f>
        <v/>
      </c>
      <c r="W88" s="23" t="n">
        <v>8601</v>
      </c>
      <c r="X88" s="23" t="n">
        <v>11049</v>
      </c>
      <c r="Y88" s="23" t="n"/>
      <c r="Z88" s="23" t="n">
        <v>11049</v>
      </c>
      <c r="AA88" s="25" t="n">
        <v>57</v>
      </c>
    </row>
    <row r="89" ht="15" customHeight="1" s="14">
      <c r="A89" s="17" t="n">
        <v>88</v>
      </c>
      <c r="B89" s="17" t="inlineStr">
        <is>
          <t>Xia Xinfeng</t>
        </is>
      </c>
      <c r="C89" s="18" t="n">
        <v>48495807</v>
      </c>
      <c r="D89" s="17" t="inlineStr">
        <is>
          <t>China</t>
        </is>
      </c>
      <c r="E89" s="17" t="n">
        <v>18</v>
      </c>
      <c r="F89" s="17" t="inlineStr">
        <is>
          <t>Yes (from draft season)</t>
        </is>
      </c>
      <c r="G89" s="17" t="inlineStr">
        <is>
          <t>hall of famer</t>
        </is>
      </c>
      <c r="H89" s="17" t="inlineStr">
        <is>
          <t>PG</t>
        </is>
      </c>
      <c r="I89" s="17" t="n">
        <v>203</v>
      </c>
      <c r="J89" s="17" t="n">
        <v>13</v>
      </c>
      <c r="K89" s="17" t="inlineStr">
        <is>
          <t>Yes</t>
        </is>
      </c>
      <c r="L89" s="19" t="n">
        <v>44087</v>
      </c>
      <c r="M89" s="20" t="n">
        <v>22000</v>
      </c>
      <c r="N89" s="19" t="n">
        <v>44123</v>
      </c>
      <c r="O89" s="20" t="n">
        <v>198000</v>
      </c>
      <c r="P89" s="20">
        <f>O89-M89</f>
        <v/>
      </c>
      <c r="Q89" s="21">
        <f>IF(M89=0,"",O89/M89)</f>
        <v/>
      </c>
      <c r="R89" s="22">
        <f>N89-L89</f>
        <v/>
      </c>
      <c r="S89" s="23" t="n">
        <v>3042</v>
      </c>
      <c r="T89" s="23" t="n">
        <v>3042</v>
      </c>
      <c r="U89" s="24">
        <f>M89/S89</f>
        <v/>
      </c>
      <c r="V89" s="24">
        <f>O89/S89</f>
        <v/>
      </c>
      <c r="W89" s="23" t="n">
        <v>10894</v>
      </c>
      <c r="X89" s="23" t="n">
        <v>13064</v>
      </c>
      <c r="Y89" s="23" t="n">
        <v>15682</v>
      </c>
      <c r="Z89" s="23" t="n">
        <v>16190</v>
      </c>
      <c r="AA89" s="25" t="n">
        <v>70</v>
      </c>
    </row>
    <row r="90" ht="15" customHeight="1" s="14">
      <c r="A90" s="17" t="n">
        <v>89</v>
      </c>
      <c r="B90" s="17" t="inlineStr">
        <is>
          <t>Salvátor Vírus</t>
        </is>
      </c>
      <c r="C90" s="18" t="n">
        <v>48705165</v>
      </c>
      <c r="D90" s="17" t="inlineStr">
        <is>
          <t>Slovensko</t>
        </is>
      </c>
      <c r="E90" s="17" t="n">
        <v>19</v>
      </c>
      <c r="F90" s="17" t="inlineStr">
        <is>
          <t>Yes (from draft season)</t>
        </is>
      </c>
      <c r="G90" s="17" t="inlineStr">
        <is>
          <t>MVP</t>
        </is>
      </c>
      <c r="H90" s="17" t="inlineStr">
        <is>
          <t>PG</t>
        </is>
      </c>
      <c r="I90" s="17" t="n">
        <v>188</v>
      </c>
      <c r="J90" s="17" t="n">
        <v>8</v>
      </c>
      <c r="K90" s="17" t="inlineStr">
        <is>
          <t>No</t>
        </is>
      </c>
      <c r="L90" s="19" t="n">
        <v>44182</v>
      </c>
      <c r="M90" s="20" t="n">
        <v>100000</v>
      </c>
      <c r="N90" s="19" t="n">
        <v>44213</v>
      </c>
      <c r="O90" s="20" t="n">
        <v>390300</v>
      </c>
      <c r="P90" s="20">
        <f>O90-M90</f>
        <v/>
      </c>
      <c r="Q90" s="21">
        <f>IF(M90=0,"",O90/M90)</f>
        <v/>
      </c>
      <c r="R90" s="22">
        <f>N90-L90</f>
        <v/>
      </c>
      <c r="S90" s="23" t="n">
        <v>5257</v>
      </c>
      <c r="T90" s="23" t="n">
        <v>5257</v>
      </c>
      <c r="U90" s="24">
        <f>M90/S90</f>
        <v/>
      </c>
      <c r="V90" s="24">
        <f>O90/S90</f>
        <v/>
      </c>
      <c r="W90" s="23" t="n">
        <v>18409</v>
      </c>
      <c r="X90" s="23" t="n">
        <v>40152</v>
      </c>
      <c r="Y90" s="23" t="n">
        <v>60332</v>
      </c>
      <c r="Z90" s="23" t="n">
        <v>72653</v>
      </c>
      <c r="AA90" s="25" t="n">
        <v>69</v>
      </c>
    </row>
    <row r="91" ht="15" customHeight="1" s="14">
      <c r="A91" s="17" t="n">
        <v>90</v>
      </c>
      <c r="B91" s="17" t="inlineStr">
        <is>
          <t>Kruno Vejmelka</t>
        </is>
      </c>
      <c r="C91" s="18" t="n">
        <v>48644609</v>
      </c>
      <c r="D91" s="17" t="inlineStr">
        <is>
          <t>Bosna i Hercegovina</t>
        </is>
      </c>
      <c r="E91" s="17" t="n">
        <v>19</v>
      </c>
      <c r="F91" s="17" t="inlineStr">
        <is>
          <t>Yes (from draft season)</t>
        </is>
      </c>
      <c r="G91" s="17" t="inlineStr">
        <is>
          <t>MVP</t>
        </is>
      </c>
      <c r="H91" s="17" t="inlineStr">
        <is>
          <t>PG</t>
        </is>
      </c>
      <c r="I91" s="17" t="n">
        <v>203</v>
      </c>
      <c r="J91" s="17" t="n">
        <v>10</v>
      </c>
      <c r="K91" s="17" t="inlineStr">
        <is>
          <t>No</t>
        </is>
      </c>
      <c r="L91" s="19" t="n">
        <v>44186</v>
      </c>
      <c r="M91" s="20" t="n">
        <v>2000</v>
      </c>
      <c r="N91" s="19" t="n">
        <v>44216</v>
      </c>
      <c r="O91" s="20" t="n">
        <v>200000</v>
      </c>
      <c r="P91" s="20">
        <f>O91-M91</f>
        <v/>
      </c>
      <c r="Q91" s="21">
        <f>IF(M91=0,"",O91/M91)</f>
        <v/>
      </c>
      <c r="R91" s="22">
        <f>N91-L91</f>
        <v/>
      </c>
      <c r="S91" s="23" t="n">
        <v>3779</v>
      </c>
      <c r="T91" s="23" t="n">
        <v>3779</v>
      </c>
      <c r="U91" s="24">
        <f>M91/S91</f>
        <v/>
      </c>
      <c r="V91" s="24">
        <f>O91/S91</f>
        <v/>
      </c>
      <c r="W91" s="23" t="n"/>
      <c r="X91" s="23" t="n"/>
      <c r="Y91" s="23" t="n"/>
      <c r="Z91" s="23" t="n">
        <v>4111</v>
      </c>
      <c r="AA91" s="25" t="n">
        <v>53</v>
      </c>
    </row>
    <row r="92" ht="15" customHeight="1" s="14">
      <c r="A92" s="17" t="n">
        <v>91</v>
      </c>
      <c r="B92" s="17" t="inlineStr">
        <is>
          <t>Jessie Heard</t>
        </is>
      </c>
      <c r="C92" s="18" t="n">
        <v>48996713</v>
      </c>
      <c r="D92" s="17" t="inlineStr">
        <is>
          <t>Utopia</t>
        </is>
      </c>
      <c r="E92" s="17" t="n">
        <v>18</v>
      </c>
      <c r="F92" s="17" t="inlineStr">
        <is>
          <t>Yes (from draft season)</t>
        </is>
      </c>
      <c r="G92" s="17" t="inlineStr">
        <is>
          <t>hall of famer</t>
        </is>
      </c>
      <c r="H92" s="17" t="inlineStr">
        <is>
          <t>SF</t>
        </is>
      </c>
      <c r="I92" s="17" t="n">
        <v>196</v>
      </c>
      <c r="J92" s="17" t="n">
        <v>46</v>
      </c>
      <c r="K92" s="17" t="inlineStr">
        <is>
          <t>Yes</t>
        </is>
      </c>
      <c r="L92" s="19" t="n">
        <v>44188</v>
      </c>
      <c r="M92" s="20" t="n">
        <v>33333</v>
      </c>
      <c r="N92" s="19" t="n">
        <v>44229</v>
      </c>
      <c r="O92" s="20" t="n">
        <v>250000</v>
      </c>
      <c r="P92" s="20">
        <f>O92-M92</f>
        <v/>
      </c>
      <c r="Q92" s="21">
        <f>IF(M92=0,"",O92/M92)</f>
        <v/>
      </c>
      <c r="R92" s="22">
        <f>N92-L92</f>
        <v/>
      </c>
      <c r="S92" s="23" t="n">
        <v>2986</v>
      </c>
      <c r="T92" s="23" t="n">
        <v>2986</v>
      </c>
      <c r="U92" s="24">
        <f>M92/S92</f>
        <v/>
      </c>
      <c r="V92" s="24">
        <f>O92/S92</f>
        <v/>
      </c>
      <c r="W92" s="23" t="n">
        <v>4599</v>
      </c>
      <c r="X92" s="23" t="n">
        <v>5342</v>
      </c>
      <c r="Y92" s="23" t="n">
        <v>5916</v>
      </c>
      <c r="Z92" s="23" t="n">
        <v>5916</v>
      </c>
      <c r="AA92" s="25" t="n">
        <v>60</v>
      </c>
    </row>
    <row r="93" ht="15" customHeight="1" s="14">
      <c r="A93" s="17" t="n">
        <v>92</v>
      </c>
      <c r="B93" s="17" t="inlineStr">
        <is>
          <t>Tsang Kwai On</t>
        </is>
      </c>
      <c r="C93" s="18" t="n">
        <v>48661025</v>
      </c>
      <c r="D93" s="17" t="inlineStr">
        <is>
          <t>Hong Kong</t>
        </is>
      </c>
      <c r="E93" s="17" t="n">
        <v>19</v>
      </c>
      <c r="F93" s="17" t="inlineStr">
        <is>
          <t>Yes (from draft season)</t>
        </is>
      </c>
      <c r="G93" s="17" t="inlineStr">
        <is>
          <t>MVP</t>
        </is>
      </c>
      <c r="H93" s="17" t="inlineStr">
        <is>
          <t>PG</t>
        </is>
      </c>
      <c r="I93" s="17" t="n">
        <v>196</v>
      </c>
      <c r="J93" s="17" t="n">
        <v>19</v>
      </c>
      <c r="K93" s="17" t="inlineStr">
        <is>
          <t>Yes</t>
        </is>
      </c>
      <c r="L93" s="19" t="n">
        <v>44190</v>
      </c>
      <c r="M93" s="20" t="n">
        <v>55555</v>
      </c>
      <c r="N93" s="19" t="n">
        <v>44239</v>
      </c>
      <c r="O93" s="20" t="n">
        <v>397000</v>
      </c>
      <c r="P93" s="20">
        <f>O93-M93</f>
        <v/>
      </c>
      <c r="Q93" s="21">
        <f>IF(M93=0,"",O93/M93)</f>
        <v/>
      </c>
      <c r="R93" s="22">
        <f>N93-L93</f>
        <v/>
      </c>
      <c r="S93" s="23" t="n">
        <v>6011</v>
      </c>
      <c r="T93" s="23" t="n">
        <v>6011</v>
      </c>
      <c r="U93" s="24">
        <f>M93/S93</f>
        <v/>
      </c>
      <c r="V93" s="24">
        <f>O93/S93</f>
        <v/>
      </c>
      <c r="W93" s="23" t="n">
        <v>21000</v>
      </c>
      <c r="X93" s="23" t="n">
        <v>42268</v>
      </c>
      <c r="Y93" s="23" t="n">
        <v>61421</v>
      </c>
      <c r="Z93" s="23" t="n">
        <v>66614</v>
      </c>
      <c r="AA93" s="25" t="n">
        <v>67</v>
      </c>
    </row>
    <row r="94" ht="15" customHeight="1" s="14">
      <c r="A94" s="17" t="n">
        <v>93</v>
      </c>
      <c r="B94" s="17" t="inlineStr">
        <is>
          <t>Mickaël Bouard</t>
        </is>
      </c>
      <c r="C94" s="18" t="n">
        <v>49022798</v>
      </c>
      <c r="D94" s="17" t="inlineStr">
        <is>
          <t>France</t>
        </is>
      </c>
      <c r="E94" s="17" t="n">
        <v>19</v>
      </c>
      <c r="F94" s="17" t="inlineStr">
        <is>
          <t>Yes (from draft season)</t>
        </is>
      </c>
      <c r="G94" s="17" t="inlineStr">
        <is>
          <t>hall of famer</t>
        </is>
      </c>
      <c r="H94" s="17" t="inlineStr">
        <is>
          <t>PG</t>
        </is>
      </c>
      <c r="I94" s="17" t="n">
        <v>188</v>
      </c>
      <c r="J94" s="17" t="n">
        <v>11</v>
      </c>
      <c r="K94" s="17" t="inlineStr">
        <is>
          <t>No</t>
        </is>
      </c>
      <c r="L94" s="19" t="n">
        <v>44280</v>
      </c>
      <c r="M94" s="20" t="n">
        <v>10000</v>
      </c>
      <c r="N94" s="19" t="n">
        <v>44323</v>
      </c>
      <c r="O94" s="20" t="n">
        <v>187000</v>
      </c>
      <c r="P94" s="20">
        <f>O94-M94</f>
        <v/>
      </c>
      <c r="Q94" s="21">
        <f>IF(M94=0,"",O94/M94)</f>
        <v/>
      </c>
      <c r="R94" s="22">
        <f>N94-L94</f>
        <v/>
      </c>
      <c r="S94" s="23" t="n">
        <v>4255</v>
      </c>
      <c r="T94" s="23" t="n">
        <v>4255</v>
      </c>
      <c r="U94" s="24">
        <f>M94/S94</f>
        <v/>
      </c>
      <c r="V94" s="24">
        <f>O94/S94</f>
        <v/>
      </c>
      <c r="W94" s="23" t="n"/>
      <c r="X94" s="23" t="n"/>
      <c r="Y94" s="23" t="n"/>
      <c r="Z94" s="23" t="n">
        <v>4351</v>
      </c>
      <c r="AA94" s="25" t="n">
        <v>55</v>
      </c>
    </row>
    <row r="95" ht="15" customHeight="1" s="14">
      <c r="A95" s="17" t="n">
        <v>94</v>
      </c>
      <c r="B95" s="17" t="inlineStr">
        <is>
          <t>Jia Haibiao</t>
        </is>
      </c>
      <c r="C95" s="18" t="n">
        <v>49393626</v>
      </c>
      <c r="D95" s="17" t="inlineStr">
        <is>
          <t>Prathet Thai</t>
        </is>
      </c>
      <c r="E95" s="17" t="n">
        <v>18</v>
      </c>
      <c r="F95" s="17" t="inlineStr">
        <is>
          <t>Yes (from draft season)</t>
        </is>
      </c>
      <c r="G95" s="17" t="inlineStr">
        <is>
          <t>MVP</t>
        </is>
      </c>
      <c r="H95" s="17" t="inlineStr">
        <is>
          <t>PG</t>
        </is>
      </c>
      <c r="I95" s="17" t="n">
        <v>203</v>
      </c>
      <c r="J95" s="17" t="n">
        <v>43</v>
      </c>
      <c r="K95" s="17" t="inlineStr">
        <is>
          <t>No</t>
        </is>
      </c>
      <c r="L95" s="19" t="n">
        <v>44283</v>
      </c>
      <c r="M95" s="20" t="n">
        <v>43000</v>
      </c>
      <c r="N95" s="19" t="n">
        <v>44324</v>
      </c>
      <c r="O95" s="20" t="n">
        <v>187000</v>
      </c>
      <c r="P95" s="20">
        <f>O95-M95</f>
        <v/>
      </c>
      <c r="Q95" s="21">
        <f>IF(M95=0,"",O95/M95)</f>
        <v/>
      </c>
      <c r="R95" s="22">
        <f>N95-L95</f>
        <v/>
      </c>
      <c r="S95" s="23" t="n">
        <v>2909</v>
      </c>
      <c r="T95" s="23" t="n">
        <v>2909</v>
      </c>
      <c r="U95" s="24">
        <f>M95/S95</f>
        <v/>
      </c>
      <c r="V95" s="24">
        <f>O95/S95</f>
        <v/>
      </c>
      <c r="W95" s="23" t="n"/>
      <c r="X95" s="23" t="n"/>
      <c r="Y95" s="23" t="n"/>
      <c r="Z95" s="23" t="n">
        <v>3071</v>
      </c>
      <c r="AA95" s="25" t="n">
        <v>54</v>
      </c>
    </row>
    <row r="96" ht="15" customHeight="1" s="14">
      <c r="A96" s="17" t="n">
        <v>95</v>
      </c>
      <c r="B96" s="17" t="inlineStr">
        <is>
          <t>Arutis Rukštelis</t>
        </is>
      </c>
      <c r="C96" s="18" t="n">
        <v>49277832</v>
      </c>
      <c r="D96" s="17" t="inlineStr">
        <is>
          <t>Lietuva</t>
        </is>
      </c>
      <c r="E96" s="17" t="n">
        <v>18</v>
      </c>
      <c r="F96" s="17" t="inlineStr">
        <is>
          <t>Yes (from draft season)</t>
        </is>
      </c>
      <c r="G96" s="17" t="inlineStr">
        <is>
          <t>hall of famer</t>
        </is>
      </c>
      <c r="H96" s="17" t="inlineStr">
        <is>
          <t>SF</t>
        </is>
      </c>
      <c r="I96" s="17" t="n">
        <v>183</v>
      </c>
      <c r="J96" s="17" t="n">
        <v>47</v>
      </c>
      <c r="K96" s="17" t="inlineStr">
        <is>
          <t>Yes</t>
        </is>
      </c>
      <c r="L96" s="19" t="n">
        <v>44284</v>
      </c>
      <c r="M96" s="20" t="n">
        <v>28000</v>
      </c>
      <c r="N96" s="19" t="n">
        <v>44341</v>
      </c>
      <c r="O96" s="20" t="n">
        <v>175000</v>
      </c>
      <c r="P96" s="20">
        <f>O96-M96</f>
        <v/>
      </c>
      <c r="Q96" s="21">
        <f>IF(M96=0,"",O96/M96)</f>
        <v/>
      </c>
      <c r="R96" s="22">
        <f>N96-L96</f>
        <v/>
      </c>
      <c r="S96" s="23" t="n">
        <v>2787</v>
      </c>
      <c r="T96" s="23" t="n">
        <v>2787</v>
      </c>
      <c r="U96" s="24">
        <f>M96/S96</f>
        <v/>
      </c>
      <c r="V96" s="24">
        <f>O96/S96</f>
        <v/>
      </c>
      <c r="W96" s="23" t="n">
        <v>3931</v>
      </c>
      <c r="X96" s="23" t="n">
        <v>4389</v>
      </c>
      <c r="Y96" s="23" t="n">
        <v>4985</v>
      </c>
      <c r="Z96" s="23" t="n">
        <v>5870</v>
      </c>
      <c r="AA96" s="25" t="n">
        <v>70</v>
      </c>
    </row>
    <row r="97" ht="15" customHeight="1" s="14">
      <c r="A97" s="17" t="n">
        <v>96</v>
      </c>
      <c r="B97" s="17" t="inlineStr">
        <is>
          <t>Pepe Löfman</t>
        </is>
      </c>
      <c r="C97" s="18" t="n">
        <v>48980316</v>
      </c>
      <c r="D97" s="17" t="inlineStr">
        <is>
          <t>Suomi</t>
        </is>
      </c>
      <c r="E97" s="17" t="n">
        <v>19</v>
      </c>
      <c r="F97" s="17" t="inlineStr">
        <is>
          <t>Yes (from draft season)</t>
        </is>
      </c>
      <c r="G97" s="17" t="inlineStr">
        <is>
          <t>hall of famer</t>
        </is>
      </c>
      <c r="H97" s="17" t="inlineStr">
        <is>
          <t>PG</t>
        </is>
      </c>
      <c r="I97" s="17" t="n">
        <v>185</v>
      </c>
      <c r="J97" s="17" t="n">
        <v>40</v>
      </c>
      <c r="K97" s="17" t="inlineStr">
        <is>
          <t>Yes</t>
        </is>
      </c>
      <c r="L97" s="19" t="n">
        <v>44285</v>
      </c>
      <c r="M97" s="20" t="n">
        <v>101101</v>
      </c>
      <c r="N97" s="19" t="n">
        <v>44314</v>
      </c>
      <c r="O97" s="20" t="n">
        <v>395000</v>
      </c>
      <c r="P97" s="20">
        <f>O97-M97</f>
        <v/>
      </c>
      <c r="Q97" s="21">
        <f>IF(M97=0,"",O97/M97)</f>
        <v/>
      </c>
      <c r="R97" s="22">
        <f>N97-L97</f>
        <v/>
      </c>
      <c r="S97" s="23" t="n">
        <v>4646</v>
      </c>
      <c r="T97" s="23" t="n">
        <v>4646</v>
      </c>
      <c r="U97" s="24">
        <f>M97/S97</f>
        <v/>
      </c>
      <c r="V97" s="24">
        <f>O97/S97</f>
        <v/>
      </c>
      <c r="W97" s="23" t="n">
        <v>13479</v>
      </c>
      <c r="X97" s="23" t="n">
        <v>25752</v>
      </c>
      <c r="Y97" s="23" t="n">
        <v>26331</v>
      </c>
      <c r="Z97" s="23" t="n">
        <v>34504</v>
      </c>
      <c r="AA97" s="25" t="n">
        <v>72</v>
      </c>
    </row>
    <row r="98" ht="15" customHeight="1" s="14">
      <c r="A98" s="17" t="n">
        <v>97</v>
      </c>
      <c r="B98" s="17" t="inlineStr">
        <is>
          <t>Asger Wael</t>
        </is>
      </c>
      <c r="C98" s="18" t="n">
        <v>48931053</v>
      </c>
      <c r="D98" s="17" t="inlineStr">
        <is>
          <t>Danmark</t>
        </is>
      </c>
      <c r="E98" s="17" t="n">
        <v>19</v>
      </c>
      <c r="F98" s="17" t="inlineStr">
        <is>
          <t>Yes (from draft season)</t>
        </is>
      </c>
      <c r="G98" s="17" t="inlineStr">
        <is>
          <t>hall of famer</t>
        </is>
      </c>
      <c r="H98" s="17" t="inlineStr">
        <is>
          <t>SG</t>
        </is>
      </c>
      <c r="I98" s="17" t="n">
        <v>193</v>
      </c>
      <c r="J98" s="17" t="n">
        <v>36</v>
      </c>
      <c r="K98" s="17" t="inlineStr">
        <is>
          <t>No</t>
        </is>
      </c>
      <c r="L98" s="19" t="n">
        <v>44289</v>
      </c>
      <c r="M98" s="20" t="n">
        <v>31000</v>
      </c>
      <c r="N98" s="19" t="n">
        <v>44345</v>
      </c>
      <c r="O98" s="20" t="n">
        <v>150000</v>
      </c>
      <c r="P98" s="20">
        <f>O98-M98</f>
        <v/>
      </c>
      <c r="Q98" s="21">
        <f>IF(M98=0,"",O98/M98)</f>
        <v/>
      </c>
      <c r="R98" s="22">
        <f>N98-L98</f>
        <v/>
      </c>
      <c r="S98" s="23" t="n">
        <v>4419</v>
      </c>
      <c r="T98" s="23" t="n">
        <v>4419</v>
      </c>
      <c r="U98" s="24">
        <f>M98/S98</f>
        <v/>
      </c>
      <c r="V98" s="24">
        <f>O98/S98</f>
        <v/>
      </c>
      <c r="W98" s="23" t="n">
        <v>8351</v>
      </c>
      <c r="X98" s="23" t="n">
        <v>9997</v>
      </c>
      <c r="Y98" s="23" t="n">
        <v>10915</v>
      </c>
      <c r="Z98" s="23" t="n">
        <v>11224</v>
      </c>
      <c r="AA98" s="25" t="n">
        <v>64</v>
      </c>
    </row>
    <row r="99" ht="15" customHeight="1" s="14">
      <c r="A99" s="17" t="n">
        <v>98</v>
      </c>
      <c r="B99" s="17" t="inlineStr">
        <is>
          <t>Augutis Krupicevicius</t>
        </is>
      </c>
      <c r="C99" s="18" t="n">
        <v>49575590</v>
      </c>
      <c r="D99" s="17" t="inlineStr">
        <is>
          <t>Lietuva</t>
        </is>
      </c>
      <c r="E99" s="17" t="n">
        <v>18</v>
      </c>
      <c r="F99" s="17" t="inlineStr">
        <is>
          <t>Yes (from draft season)</t>
        </is>
      </c>
      <c r="G99" s="17" t="inlineStr">
        <is>
          <t>MVP</t>
        </is>
      </c>
      <c r="H99" s="17" t="inlineStr">
        <is>
          <t>SF</t>
        </is>
      </c>
      <c r="I99" s="17" t="n">
        <v>190</v>
      </c>
      <c r="J99" s="17" t="n">
        <v>23</v>
      </c>
      <c r="K99" s="17" t="inlineStr">
        <is>
          <t>No</t>
        </is>
      </c>
      <c r="L99" s="19" t="n">
        <v>44379</v>
      </c>
      <c r="M99" s="20" t="n">
        <v>33333</v>
      </c>
      <c r="N99" s="19" t="n">
        <v>44459</v>
      </c>
      <c r="O99" s="20" t="n">
        <v>95000</v>
      </c>
      <c r="P99" s="20">
        <f>O99-M99</f>
        <v/>
      </c>
      <c r="Q99" s="21">
        <f>IF(M99=0,"",O99/M99)</f>
        <v/>
      </c>
      <c r="R99" s="22">
        <f>N99-L99</f>
        <v/>
      </c>
      <c r="S99" s="23" t="n">
        <v>4072</v>
      </c>
      <c r="T99" s="23" t="n">
        <v>4072</v>
      </c>
      <c r="U99" s="24">
        <f>M99/S99</f>
        <v/>
      </c>
      <c r="V99" s="24">
        <f>O99/S99</f>
        <v/>
      </c>
      <c r="W99" s="23" t="n">
        <v>5440</v>
      </c>
      <c r="X99" s="23" t="n"/>
      <c r="Y99" s="23" t="n"/>
      <c r="Z99" s="23" t="n">
        <v>5440</v>
      </c>
      <c r="AA99" s="25" t="n">
        <v>59</v>
      </c>
    </row>
    <row r="100" ht="15" customHeight="1" s="14">
      <c r="A100" s="17" t="n">
        <v>99</v>
      </c>
      <c r="B100" s="17" t="inlineStr">
        <is>
          <t>Guillem Joan</t>
        </is>
      </c>
      <c r="C100" s="18" t="n">
        <v>49181507</v>
      </c>
      <c r="D100" s="17" t="inlineStr">
        <is>
          <t>España</t>
        </is>
      </c>
      <c r="E100" s="17" t="n">
        <v>19</v>
      </c>
      <c r="F100" s="17" t="inlineStr">
        <is>
          <t>Yes (from draft season)</t>
        </is>
      </c>
      <c r="G100" s="17" t="inlineStr">
        <is>
          <t>MVP</t>
        </is>
      </c>
      <c r="H100" s="17" t="inlineStr">
        <is>
          <t>SF</t>
        </is>
      </c>
      <c r="I100" s="17" t="n">
        <v>203</v>
      </c>
      <c r="J100" s="17" t="n">
        <v>39</v>
      </c>
      <c r="K100" s="17" t="inlineStr">
        <is>
          <t>No</t>
        </is>
      </c>
      <c r="L100" s="19" t="n">
        <v>44380</v>
      </c>
      <c r="M100" s="20" t="n">
        <v>32000</v>
      </c>
      <c r="N100" s="19" t="n">
        <v>44415</v>
      </c>
      <c r="O100" s="20" t="n">
        <v>187000</v>
      </c>
      <c r="P100" s="20">
        <f>O100-M100</f>
        <v/>
      </c>
      <c r="Q100" s="21">
        <f>IF(M100=0,"",O100/M100)</f>
        <v/>
      </c>
      <c r="R100" s="22">
        <f>N100-L100</f>
        <v/>
      </c>
      <c r="S100" s="23" t="n">
        <v>4209</v>
      </c>
      <c r="T100" s="23" t="n">
        <v>4209</v>
      </c>
      <c r="U100" s="24">
        <f>M100/S100</f>
        <v/>
      </c>
      <c r="V100" s="24">
        <f>O100/S100</f>
        <v/>
      </c>
      <c r="W100" s="23" t="n">
        <v>10861</v>
      </c>
      <c r="X100" s="23" t="n">
        <v>16723</v>
      </c>
      <c r="Y100" s="23" t="n">
        <v>23267</v>
      </c>
      <c r="Z100" s="23" t="n">
        <v>30561</v>
      </c>
      <c r="AA100" s="25" t="n">
        <v>70</v>
      </c>
    </row>
    <row r="101" ht="15" customHeight="1" s="14">
      <c r="A101" s="17" t="n">
        <v>100</v>
      </c>
      <c r="B101" s="17" t="inlineStr">
        <is>
          <t>Kevin Schwab</t>
        </is>
      </c>
      <c r="C101" s="18" t="n">
        <v>49131562</v>
      </c>
      <c r="D101" s="17" t="inlineStr">
        <is>
          <t>USA</t>
        </is>
      </c>
      <c r="E101" s="17" t="n">
        <v>19</v>
      </c>
      <c r="F101" s="17" t="inlineStr">
        <is>
          <t>Yes (from draft season)</t>
        </is>
      </c>
      <c r="G101" s="17" t="inlineStr">
        <is>
          <t>hall of famer</t>
        </is>
      </c>
      <c r="H101" s="17" t="inlineStr">
        <is>
          <t>SF</t>
        </is>
      </c>
      <c r="I101" s="17" t="n">
        <v>193</v>
      </c>
      <c r="J101" s="17" t="n">
        <v>27</v>
      </c>
      <c r="K101" s="17" t="inlineStr">
        <is>
          <t>No</t>
        </is>
      </c>
      <c r="L101" s="19" t="n">
        <v>44380</v>
      </c>
      <c r="M101" s="20" t="n">
        <v>104100</v>
      </c>
      <c r="N101" s="19" t="n">
        <v>44433</v>
      </c>
      <c r="O101" s="20" t="n">
        <v>198000</v>
      </c>
      <c r="P101" s="20">
        <f>O101-M101</f>
        <v/>
      </c>
      <c r="Q101" s="21">
        <f>IF(M101=0,"",O101/M101)</f>
        <v/>
      </c>
      <c r="R101" s="22">
        <f>N101-L101</f>
        <v/>
      </c>
      <c r="S101" s="23" t="n">
        <v>4316</v>
      </c>
      <c r="T101" s="23" t="n">
        <v>4316</v>
      </c>
      <c r="U101" s="24">
        <f>M101/S101</f>
        <v/>
      </c>
      <c r="V101" s="24">
        <f>O101/S101</f>
        <v/>
      </c>
      <c r="W101" s="23" t="n">
        <v>7505</v>
      </c>
      <c r="X101" s="23" t="n">
        <v>8919</v>
      </c>
      <c r="Y101" s="23" t="n">
        <v>13409</v>
      </c>
      <c r="Z101" s="23" t="n">
        <v>15400</v>
      </c>
      <c r="AA101" s="25" t="n">
        <v>70</v>
      </c>
    </row>
    <row r="102" ht="15" customHeight="1" s="14">
      <c r="A102" s="17" t="n">
        <v>101</v>
      </c>
      <c r="B102" s="17" t="inlineStr">
        <is>
          <t>Paulo César Arrupe</t>
        </is>
      </c>
      <c r="C102" s="18" t="n">
        <v>49390085</v>
      </c>
      <c r="D102" s="17" t="inlineStr">
        <is>
          <t>Utopia</t>
        </is>
      </c>
      <c r="E102" s="17" t="n">
        <v>19</v>
      </c>
      <c r="F102" s="17" t="inlineStr">
        <is>
          <t>Yes (from draft season)</t>
        </is>
      </c>
      <c r="G102" s="17" t="inlineStr">
        <is>
          <t>hall of famer</t>
        </is>
      </c>
      <c r="H102" s="17" t="inlineStr">
        <is>
          <t>PF</t>
        </is>
      </c>
      <c r="I102" s="17" t="n">
        <v>208</v>
      </c>
      <c r="J102" s="17" t="n">
        <v>33</v>
      </c>
      <c r="K102" s="17" t="inlineStr">
        <is>
          <t>Yes</t>
        </is>
      </c>
      <c r="L102" s="19" t="n">
        <v>44382</v>
      </c>
      <c r="M102" s="20" t="n">
        <v>60000</v>
      </c>
      <c r="N102" s="19" t="n">
        <v>44434</v>
      </c>
      <c r="O102" s="20" t="n">
        <v>175000</v>
      </c>
      <c r="P102" s="20">
        <f>O102-M102</f>
        <v/>
      </c>
      <c r="Q102" s="21">
        <f>IF(M102=0,"",O102/M102)</f>
        <v/>
      </c>
      <c r="R102" s="22">
        <f>N102-L102</f>
        <v/>
      </c>
      <c r="S102" s="23" t="n">
        <v>5472</v>
      </c>
      <c r="T102" s="23" t="n">
        <v>5472</v>
      </c>
      <c r="U102" s="24">
        <f>M102/S102</f>
        <v/>
      </c>
      <c r="V102" s="24">
        <f>O102/S102</f>
        <v/>
      </c>
      <c r="W102" s="23" t="n">
        <v>23762</v>
      </c>
      <c r="X102" s="23" t="n">
        <v>60937</v>
      </c>
      <c r="Y102" s="23" t="n">
        <v>60947</v>
      </c>
      <c r="Z102" s="23" t="n">
        <v>68026</v>
      </c>
      <c r="AA102" s="25" t="n">
        <v>70</v>
      </c>
    </row>
    <row r="103" ht="15" customHeight="1" s="14">
      <c r="A103" s="17" t="n">
        <v>102</v>
      </c>
      <c r="B103" s="17" t="inlineStr">
        <is>
          <t>Johnny Cowart</t>
        </is>
      </c>
      <c r="C103" s="18" t="n">
        <v>49387594</v>
      </c>
      <c r="D103" s="17" t="inlineStr">
        <is>
          <t>Utopia</t>
        </is>
      </c>
      <c r="E103" s="17" t="n">
        <v>19</v>
      </c>
      <c r="F103" s="17" t="inlineStr">
        <is>
          <t>Yes (from draft season)</t>
        </is>
      </c>
      <c r="G103" s="17" t="inlineStr">
        <is>
          <t>MVP</t>
        </is>
      </c>
      <c r="H103" s="17" t="inlineStr">
        <is>
          <t>SF</t>
        </is>
      </c>
      <c r="I103" s="17" t="n">
        <v>208</v>
      </c>
      <c r="J103" s="17" t="n">
        <v>1</v>
      </c>
      <c r="K103" s="17" t="inlineStr">
        <is>
          <t>No</t>
        </is>
      </c>
      <c r="L103" s="19" t="n">
        <v>44382</v>
      </c>
      <c r="M103" s="20" t="n">
        <v>52100</v>
      </c>
      <c r="N103" s="19" t="n">
        <v>44422</v>
      </c>
      <c r="O103" s="20" t="n">
        <v>260200</v>
      </c>
      <c r="P103" s="20">
        <f>O103-M103</f>
        <v/>
      </c>
      <c r="Q103" s="21">
        <f>IF(M103=0,"",O103/M103)</f>
        <v/>
      </c>
      <c r="R103" s="22">
        <f>N103-L103</f>
        <v/>
      </c>
      <c r="S103" s="23" t="n">
        <v>7007</v>
      </c>
      <c r="T103" s="23" t="n">
        <v>7007</v>
      </c>
      <c r="U103" s="24">
        <f>M103/S103</f>
        <v/>
      </c>
      <c r="V103" s="24">
        <f>O103/S103</f>
        <v/>
      </c>
      <c r="W103" s="23" t="n">
        <v>7607</v>
      </c>
      <c r="X103" s="23" t="n">
        <v>7749</v>
      </c>
      <c r="Y103" s="23" t="n"/>
      <c r="Z103" s="23" t="n">
        <v>7749</v>
      </c>
      <c r="AA103" s="25" t="n">
        <v>59</v>
      </c>
    </row>
    <row r="104" ht="15" customHeight="1" s="14">
      <c r="A104" s="17" t="n">
        <v>103</v>
      </c>
      <c r="B104" s="17" t="inlineStr">
        <is>
          <t>Csongor Szűcs</t>
        </is>
      </c>
      <c r="C104" s="18" t="n">
        <v>49632952</v>
      </c>
      <c r="D104" s="17" t="inlineStr">
        <is>
          <t>Magyarország</t>
        </is>
      </c>
      <c r="E104" s="17" t="n">
        <v>19</v>
      </c>
      <c r="F104" s="17" t="inlineStr">
        <is>
          <t>Yes (from draft season)</t>
        </is>
      </c>
      <c r="G104" s="17" t="inlineStr">
        <is>
          <t>MVP</t>
        </is>
      </c>
      <c r="H104" s="17" t="inlineStr">
        <is>
          <t>PG</t>
        </is>
      </c>
      <c r="I104" s="17" t="n">
        <v>185</v>
      </c>
      <c r="J104" s="17" t="n">
        <v>7</v>
      </c>
      <c r="K104" s="17" t="inlineStr">
        <is>
          <t>No</t>
        </is>
      </c>
      <c r="L104" s="19" t="n">
        <v>44477</v>
      </c>
      <c r="M104" s="20" t="n">
        <v>50000</v>
      </c>
      <c r="N104" s="19" t="n">
        <v>44515</v>
      </c>
      <c r="O104" s="20" t="n">
        <v>202000</v>
      </c>
      <c r="P104" s="20">
        <f>O104-M104</f>
        <v/>
      </c>
      <c r="Q104" s="21">
        <f>IF(M104=0,"",O104/M104)</f>
        <v/>
      </c>
      <c r="R104" s="22">
        <f>N104-L104</f>
        <v/>
      </c>
      <c r="S104" s="23" t="n">
        <v>4250</v>
      </c>
      <c r="T104" s="23" t="n">
        <v>4250</v>
      </c>
      <c r="U104" s="24">
        <f>M104/S104</f>
        <v/>
      </c>
      <c r="V104" s="24">
        <f>O104/S104</f>
        <v/>
      </c>
      <c r="W104" s="23" t="n">
        <v>8282</v>
      </c>
      <c r="X104" s="23" t="n">
        <v>11195</v>
      </c>
      <c r="Y104" s="23" t="n">
        <v>24700</v>
      </c>
      <c r="Z104" s="23" t="n">
        <v>24700</v>
      </c>
      <c r="AA104" s="25" t="n">
        <v>67</v>
      </c>
    </row>
    <row r="105" ht="15" customHeight="1" s="14">
      <c r="A105" s="17" t="n">
        <v>104</v>
      </c>
      <c r="B105" s="17" t="inlineStr">
        <is>
          <t>Pierce Weiss</t>
        </is>
      </c>
      <c r="C105" s="18" t="n">
        <v>49554195</v>
      </c>
      <c r="D105" s="17" t="inlineStr">
        <is>
          <t>England</t>
        </is>
      </c>
      <c r="E105" s="17" t="n">
        <v>19</v>
      </c>
      <c r="F105" s="17" t="inlineStr">
        <is>
          <t>Yes (from draft season)</t>
        </is>
      </c>
      <c r="G105" s="17" t="inlineStr">
        <is>
          <t>MVP</t>
        </is>
      </c>
      <c r="H105" s="17" t="inlineStr">
        <is>
          <t>SF</t>
        </is>
      </c>
      <c r="I105" s="17" t="n">
        <v>193</v>
      </c>
      <c r="J105" s="17" t="n">
        <v>20</v>
      </c>
      <c r="K105" s="17" t="inlineStr">
        <is>
          <t>No</t>
        </is>
      </c>
      <c r="L105" s="19" t="n">
        <v>44480</v>
      </c>
      <c r="M105" s="20" t="n">
        <v>52100</v>
      </c>
      <c r="N105" s="19" t="n">
        <v>44523</v>
      </c>
      <c r="O105" s="20" t="n">
        <v>175000</v>
      </c>
      <c r="P105" s="20">
        <f>O105-M105</f>
        <v/>
      </c>
      <c r="Q105" s="21">
        <f>IF(M105=0,"",O105/M105)</f>
        <v/>
      </c>
      <c r="R105" s="22">
        <f>N105-L105</f>
        <v/>
      </c>
      <c r="S105" s="23" t="n">
        <v>4002</v>
      </c>
      <c r="T105" s="23" t="n">
        <v>4002</v>
      </c>
      <c r="U105" s="24">
        <f>M105/S105</f>
        <v/>
      </c>
      <c r="V105" s="24">
        <f>O105/S105</f>
        <v/>
      </c>
      <c r="W105" s="23" t="n">
        <v>6135</v>
      </c>
      <c r="X105" s="23" t="n">
        <v>7411</v>
      </c>
      <c r="Y105" s="23" t="n">
        <v>9099</v>
      </c>
      <c r="Z105" s="23" t="n">
        <v>11025</v>
      </c>
      <c r="AA105" s="25" t="n">
        <v>67</v>
      </c>
    </row>
    <row r="106" ht="15" customHeight="1" s="14">
      <c r="A106" s="17" t="n">
        <v>105</v>
      </c>
      <c r="B106" s="17" t="inlineStr">
        <is>
          <t>Aras Ustinavicius</t>
        </is>
      </c>
      <c r="C106" s="18" t="n">
        <v>49578194</v>
      </c>
      <c r="D106" s="17" t="inlineStr">
        <is>
          <t>Lietuva</t>
        </is>
      </c>
      <c r="E106" s="17" t="n">
        <v>19</v>
      </c>
      <c r="F106" s="17" t="inlineStr">
        <is>
          <t>Yes (from draft season)</t>
        </is>
      </c>
      <c r="G106" s="17" t="inlineStr">
        <is>
          <t>MVP</t>
        </is>
      </c>
      <c r="H106" s="17" t="inlineStr">
        <is>
          <t>PG</t>
        </is>
      </c>
      <c r="I106" s="17" t="n">
        <v>193</v>
      </c>
      <c r="J106" s="17" t="n">
        <v>1</v>
      </c>
      <c r="K106" s="17" t="inlineStr">
        <is>
          <t>Yes</t>
        </is>
      </c>
      <c r="L106" s="19" t="n">
        <v>44480</v>
      </c>
      <c r="M106" s="20" t="n">
        <v>15000</v>
      </c>
      <c r="N106" s="19" t="n">
        <v>44536</v>
      </c>
      <c r="O106" s="20" t="n">
        <v>150000</v>
      </c>
      <c r="P106" s="20">
        <f>O106-M106</f>
        <v/>
      </c>
      <c r="Q106" s="21">
        <f>IF(M106=0,"",O106/M106)</f>
        <v/>
      </c>
      <c r="R106" s="22">
        <f>N106-L106</f>
        <v/>
      </c>
      <c r="S106" s="23" t="n">
        <v>4416</v>
      </c>
      <c r="T106" s="23" t="n">
        <v>4416</v>
      </c>
      <c r="U106" s="24">
        <f>M106/S106</f>
        <v/>
      </c>
      <c r="V106" s="24">
        <f>O106/S106</f>
        <v/>
      </c>
      <c r="W106" s="23" t="n">
        <v>5137</v>
      </c>
      <c r="X106" s="23" t="n"/>
      <c r="Y106" s="23" t="n"/>
      <c r="Z106" s="23" t="n">
        <v>5137</v>
      </c>
      <c r="AA106" s="25" t="n">
        <v>58</v>
      </c>
    </row>
    <row r="107" ht="15" customHeight="1" s="14">
      <c r="A107" s="17" t="n">
        <v>106</v>
      </c>
      <c r="B107" s="17" t="inlineStr">
        <is>
          <t>Algimantas Bukas</t>
        </is>
      </c>
      <c r="C107" s="18" t="n">
        <v>49575965</v>
      </c>
      <c r="D107" s="17" t="inlineStr">
        <is>
          <t>Lietuva</t>
        </is>
      </c>
      <c r="E107" s="17" t="n">
        <v>19</v>
      </c>
      <c r="F107" s="17" t="inlineStr">
        <is>
          <t>Yes (from draft season)</t>
        </is>
      </c>
      <c r="G107" s="17" t="inlineStr">
        <is>
          <t>MVP</t>
        </is>
      </c>
      <c r="H107" s="17" t="inlineStr">
        <is>
          <t>PG</t>
        </is>
      </c>
      <c r="I107" s="17" t="n">
        <v>198</v>
      </c>
      <c r="J107" s="17" t="n">
        <v>16</v>
      </c>
      <c r="K107" s="17" t="inlineStr">
        <is>
          <t>No</t>
        </is>
      </c>
      <c r="L107" s="19" t="n">
        <v>44481</v>
      </c>
      <c r="M107" s="20" t="n">
        <v>6000</v>
      </c>
      <c r="N107" s="19" t="n">
        <v>44520</v>
      </c>
      <c r="O107" s="20" t="n">
        <v>175000</v>
      </c>
      <c r="P107" s="20">
        <f>O107-M107</f>
        <v/>
      </c>
      <c r="Q107" s="21">
        <f>IF(M107=0,"",O107/M107)</f>
        <v/>
      </c>
      <c r="R107" s="22">
        <f>N107-L107</f>
        <v/>
      </c>
      <c r="S107" s="23" t="n">
        <v>5124</v>
      </c>
      <c r="T107" s="23" t="n">
        <v>5124</v>
      </c>
      <c r="U107" s="24">
        <f>M107/S107</f>
        <v/>
      </c>
      <c r="V107" s="24">
        <f>O107/S107</f>
        <v/>
      </c>
      <c r="W107" s="23" t="n">
        <v>8117</v>
      </c>
      <c r="X107" s="23" t="n">
        <v>8117</v>
      </c>
      <c r="Y107" s="23" t="n">
        <v>8117</v>
      </c>
      <c r="Z107" s="23" t="n">
        <v>9559</v>
      </c>
      <c r="AA107" s="25" t="n">
        <v>65</v>
      </c>
    </row>
    <row r="108" ht="15" customHeight="1" s="14">
      <c r="A108" s="17" t="n">
        <v>107</v>
      </c>
      <c r="B108" s="17" t="inlineStr">
        <is>
          <t>Víctor Zúñiga Gómez</t>
        </is>
      </c>
      <c r="C108" s="18" t="n">
        <v>50366638</v>
      </c>
      <c r="D108" s="17" t="inlineStr">
        <is>
          <t>España</t>
        </is>
      </c>
      <c r="E108" s="17" t="n">
        <v>18</v>
      </c>
      <c r="F108" s="17" t="inlineStr">
        <is>
          <t>Yes (from draft season)</t>
        </is>
      </c>
      <c r="G108" s="17" t="inlineStr">
        <is>
          <t>hall of famer</t>
        </is>
      </c>
      <c r="H108" s="17" t="inlineStr">
        <is>
          <t>PG</t>
        </is>
      </c>
      <c r="I108" s="17" t="n">
        <v>185</v>
      </c>
      <c r="J108" s="17" t="n">
        <v>46</v>
      </c>
      <c r="K108" s="17" t="inlineStr">
        <is>
          <t>Yes</t>
        </is>
      </c>
      <c r="L108" s="19" t="n">
        <v>44576</v>
      </c>
      <c r="M108" s="20" t="n">
        <v>77777</v>
      </c>
      <c r="N108" s="19" t="n">
        <v>44602</v>
      </c>
      <c r="O108" s="20" t="n">
        <v>275000</v>
      </c>
      <c r="P108" s="20">
        <f>O108-M108</f>
        <v/>
      </c>
      <c r="Q108" s="21">
        <f>IF(M108=0,"",O108/M108)</f>
        <v/>
      </c>
      <c r="R108" s="22">
        <f>N108-L108</f>
        <v/>
      </c>
      <c r="S108" s="23" t="n">
        <v>4103</v>
      </c>
      <c r="T108" s="23" t="n">
        <v>4103</v>
      </c>
      <c r="U108" s="24">
        <f>M108/S108</f>
        <v/>
      </c>
      <c r="V108" s="24">
        <f>O108/S108</f>
        <v/>
      </c>
      <c r="W108" s="23" t="n"/>
      <c r="X108" s="23" t="n"/>
      <c r="Y108" s="23" t="n"/>
      <c r="Z108" s="23" t="n">
        <v>4103</v>
      </c>
      <c r="AA108" s="25" t="n">
        <v>57</v>
      </c>
    </row>
    <row r="109" ht="15" customHeight="1" s="14">
      <c r="A109" s="17" t="n">
        <v>108</v>
      </c>
      <c r="B109" s="17" t="inlineStr">
        <is>
          <t>Marian Kuczma</t>
        </is>
      </c>
      <c r="C109" s="18" t="n">
        <v>50528014</v>
      </c>
      <c r="D109" s="17" t="inlineStr">
        <is>
          <t>Polska</t>
        </is>
      </c>
      <c r="E109" s="17" t="n">
        <v>18</v>
      </c>
      <c r="F109" s="17" t="inlineStr">
        <is>
          <t>Yes (from draft season)</t>
        </is>
      </c>
      <c r="G109" s="17" t="inlineStr">
        <is>
          <t>hall of famer</t>
        </is>
      </c>
      <c r="H109" s="17" t="inlineStr">
        <is>
          <t>SF</t>
        </is>
      </c>
      <c r="I109" s="17" t="n">
        <v>198</v>
      </c>
      <c r="J109" s="17" t="n">
        <v>32</v>
      </c>
      <c r="K109" s="17" t="inlineStr">
        <is>
          <t>Yes</t>
        </is>
      </c>
      <c r="L109" s="19" t="n">
        <v>44578</v>
      </c>
      <c r="M109" s="20" t="n">
        <v>102000</v>
      </c>
      <c r="N109" s="19" t="n">
        <v>44606</v>
      </c>
      <c r="O109" s="20" t="n">
        <v>475000</v>
      </c>
      <c r="P109" s="20">
        <f>O109-M109</f>
        <v/>
      </c>
      <c r="Q109" s="21">
        <f>IF(M109=0,"",O109/M109)</f>
        <v/>
      </c>
      <c r="R109" s="22">
        <f>N109-L109</f>
        <v/>
      </c>
      <c r="S109" s="23" t="n">
        <v>4235</v>
      </c>
      <c r="T109" s="23" t="n">
        <v>4235</v>
      </c>
      <c r="U109" s="24">
        <f>M109/S109</f>
        <v/>
      </c>
      <c r="V109" s="24">
        <f>O109/S109</f>
        <v/>
      </c>
      <c r="W109" s="23" t="n">
        <v>6847</v>
      </c>
      <c r="X109" s="23" t="n">
        <v>8197</v>
      </c>
      <c r="Y109" s="23" t="n">
        <v>9051</v>
      </c>
      <c r="Z109" s="23" t="n">
        <v>9787</v>
      </c>
      <c r="AA109" s="25" t="n">
        <v>69</v>
      </c>
    </row>
    <row r="110" ht="15" customHeight="1" s="14">
      <c r="A110" s="17" t="n">
        <v>109</v>
      </c>
      <c r="B110" s="17" t="inlineStr">
        <is>
          <t>Arnas Selezenevas</t>
        </is>
      </c>
      <c r="C110" s="18" t="n">
        <v>50459992</v>
      </c>
      <c r="D110" s="17" t="inlineStr">
        <is>
          <t>Lietuva</t>
        </is>
      </c>
      <c r="E110" s="17" t="n">
        <v>19</v>
      </c>
      <c r="F110" s="17" t="inlineStr">
        <is>
          <t>No</t>
        </is>
      </c>
      <c r="G110" s="17" t="inlineStr">
        <is>
          <t>hall of famer</t>
        </is>
      </c>
      <c r="H110" s="17" t="inlineStr">
        <is>
          <t>PF</t>
        </is>
      </c>
      <c r="I110" s="17" t="n">
        <v>208</v>
      </c>
      <c r="J110" s="17" t="n">
        <v>11</v>
      </c>
      <c r="K110" s="17" t="inlineStr">
        <is>
          <t>No</t>
        </is>
      </c>
      <c r="L110" s="19" t="n">
        <v>44583</v>
      </c>
      <c r="M110" s="20" t="n">
        <v>115700</v>
      </c>
      <c r="N110" s="19" t="n">
        <v>44625</v>
      </c>
      <c r="O110" s="20" t="n">
        <v>406000</v>
      </c>
      <c r="P110" s="20">
        <f>O110-M110</f>
        <v/>
      </c>
      <c r="Q110" s="21">
        <f>IF(M110=0,"",O110/M110)</f>
        <v/>
      </c>
      <c r="R110" s="22">
        <f>N110-L110</f>
        <v/>
      </c>
      <c r="S110" s="23" t="n">
        <v>3815</v>
      </c>
      <c r="T110" s="23" t="n">
        <v>3815</v>
      </c>
      <c r="U110" s="24">
        <f>M110/S110</f>
        <v/>
      </c>
      <c r="V110" s="24">
        <f>O110/S110</f>
        <v/>
      </c>
      <c r="W110" s="23" t="n">
        <v>10369</v>
      </c>
      <c r="X110" s="23" t="n">
        <v>21563</v>
      </c>
      <c r="Y110" s="23" t="n">
        <v>25260</v>
      </c>
      <c r="Z110" s="23" t="n">
        <v>26072</v>
      </c>
      <c r="AA110" s="25" t="n">
        <v>73</v>
      </c>
    </row>
    <row r="111" ht="15" customHeight="1" s="14">
      <c r="A111" s="17" t="n">
        <v>110</v>
      </c>
      <c r="B111" s="17" t="inlineStr">
        <is>
          <t>Tomás Marín Alonso</t>
        </is>
      </c>
      <c r="C111" s="18" t="n">
        <v>49744055</v>
      </c>
      <c r="D111" s="17" t="inlineStr">
        <is>
          <t>Argentina</t>
        </is>
      </c>
      <c r="E111" s="17" t="n">
        <v>19</v>
      </c>
      <c r="F111" s="17" t="inlineStr">
        <is>
          <t>Yes (from draft season)</t>
        </is>
      </c>
      <c r="G111" s="17" t="inlineStr">
        <is>
          <t>hall of famer</t>
        </is>
      </c>
      <c r="H111" s="17" t="inlineStr">
        <is>
          <t>PG</t>
        </is>
      </c>
      <c r="I111" s="17" t="n">
        <v>196</v>
      </c>
      <c r="J111" s="17" t="n">
        <v>23</v>
      </c>
      <c r="K111" s="17" t="inlineStr">
        <is>
          <t>No</t>
        </is>
      </c>
      <c r="L111" s="19" t="n">
        <v>44583</v>
      </c>
      <c r="M111" s="20" t="n">
        <v>22000</v>
      </c>
      <c r="N111" s="19" t="n">
        <v>44615</v>
      </c>
      <c r="O111" s="20" t="n">
        <v>297000</v>
      </c>
      <c r="P111" s="20">
        <f>O111-M111</f>
        <v/>
      </c>
      <c r="Q111" s="21">
        <f>IF(M111=0,"",O111/M111)</f>
        <v/>
      </c>
      <c r="R111" s="22">
        <f>N111-L111</f>
        <v/>
      </c>
      <c r="S111" s="23" t="n">
        <v>4759</v>
      </c>
      <c r="T111" s="23" t="n">
        <v>4759</v>
      </c>
      <c r="U111" s="24">
        <f>M111/S111</f>
        <v/>
      </c>
      <c r="V111" s="24">
        <f>O111/S111</f>
        <v/>
      </c>
      <c r="W111" s="23" t="n">
        <v>12644</v>
      </c>
      <c r="X111" s="23" t="n">
        <v>13179</v>
      </c>
      <c r="Y111" s="23" t="n">
        <v>16476</v>
      </c>
      <c r="Z111" s="23" t="n">
        <v>18831</v>
      </c>
      <c r="AA111" s="25" t="n">
        <v>69</v>
      </c>
    </row>
    <row r="112" ht="15" customHeight="1" s="14">
      <c r="A112" s="17" t="n">
        <v>111</v>
      </c>
      <c r="B112" s="17" t="inlineStr">
        <is>
          <t>Fei Chengyang</t>
        </is>
      </c>
      <c r="C112" s="18" t="n">
        <v>49983009</v>
      </c>
      <c r="D112" s="17" t="inlineStr">
        <is>
          <t>Macau</t>
        </is>
      </c>
      <c r="E112" s="17" t="n">
        <v>19</v>
      </c>
      <c r="F112" s="17" t="inlineStr">
        <is>
          <t>Yes (from draft season)</t>
        </is>
      </c>
      <c r="G112" s="17" t="inlineStr">
        <is>
          <t>hall of famer</t>
        </is>
      </c>
      <c r="H112" s="17" t="inlineStr">
        <is>
          <t>PG</t>
        </is>
      </c>
      <c r="I112" s="17" t="n">
        <v>188</v>
      </c>
      <c r="J112" s="17" t="n">
        <v>16</v>
      </c>
      <c r="K112" s="17" t="inlineStr">
        <is>
          <t>Yes</t>
        </is>
      </c>
      <c r="L112" s="19" t="n">
        <v>44585</v>
      </c>
      <c r="M112" s="20" t="n">
        <v>29000</v>
      </c>
      <c r="N112" s="19" t="n">
        <v>44632</v>
      </c>
      <c r="O112" s="20" t="n">
        <v>275000</v>
      </c>
      <c r="P112" s="20">
        <f>O112-M112</f>
        <v/>
      </c>
      <c r="Q112" s="21">
        <f>IF(M112=0,"",O112/M112)</f>
        <v/>
      </c>
      <c r="R112" s="22">
        <f>N112-L112</f>
        <v/>
      </c>
      <c r="S112" s="23" t="n">
        <v>4321</v>
      </c>
      <c r="T112" s="23" t="n">
        <v>4321</v>
      </c>
      <c r="U112" s="24">
        <f>M112/S112</f>
        <v/>
      </c>
      <c r="V112" s="24">
        <f>O112/S112</f>
        <v/>
      </c>
      <c r="W112" s="23" t="n">
        <v>7253</v>
      </c>
      <c r="X112" s="23" t="n">
        <v>8714</v>
      </c>
      <c r="Y112" s="23" t="n">
        <v>10040</v>
      </c>
      <c r="Z112" s="23" t="n">
        <v>12651</v>
      </c>
      <c r="AA112" s="25" t="n">
        <v>68</v>
      </c>
    </row>
    <row r="113" ht="15" customHeight="1" s="14">
      <c r="A113" s="17" t="n">
        <v>112</v>
      </c>
      <c r="B113" s="17" t="inlineStr">
        <is>
          <t>Ignacio Floreaga</t>
        </is>
      </c>
      <c r="C113" s="18" t="n">
        <v>50683632</v>
      </c>
      <c r="D113" s="17" t="inlineStr">
        <is>
          <t>España</t>
        </is>
      </c>
      <c r="E113" s="17" t="n">
        <v>19</v>
      </c>
      <c r="F113" s="17" t="inlineStr">
        <is>
          <t>No</t>
        </is>
      </c>
      <c r="G113" s="17" t="inlineStr">
        <is>
          <t>hall of famer</t>
        </is>
      </c>
      <c r="H113" s="17" t="inlineStr">
        <is>
          <t>PF</t>
        </is>
      </c>
      <c r="I113" s="17" t="n">
        <v>208</v>
      </c>
      <c r="J113" s="17" t="n">
        <v>28</v>
      </c>
      <c r="K113" s="17" t="inlineStr">
        <is>
          <t>Yes</t>
        </is>
      </c>
      <c r="L113" s="19" t="n">
        <v>44673</v>
      </c>
      <c r="M113" s="20" t="n">
        <v>122222</v>
      </c>
      <c r="N113" s="19" t="n">
        <v>44707</v>
      </c>
      <c r="O113" s="20" t="n">
        <v>292100</v>
      </c>
      <c r="P113" s="20">
        <f>O113-M113</f>
        <v/>
      </c>
      <c r="Q113" s="21">
        <f>IF(M113=0,"",O113/M113)</f>
        <v/>
      </c>
      <c r="R113" s="22">
        <f>N113-L113</f>
        <v/>
      </c>
      <c r="S113" s="23" t="n">
        <v>4272</v>
      </c>
      <c r="T113" s="23" t="n">
        <v>4272</v>
      </c>
      <c r="U113" s="24">
        <f>M113/S113</f>
        <v/>
      </c>
      <c r="V113" s="24">
        <f>O113/S113</f>
        <v/>
      </c>
      <c r="W113" s="23" t="n">
        <v>8156</v>
      </c>
      <c r="X113" s="23" t="n">
        <v>11847</v>
      </c>
      <c r="Y113" s="23" t="n">
        <v>23100</v>
      </c>
      <c r="Z113" s="23" t="n">
        <v>35215</v>
      </c>
      <c r="AA113" s="25" t="n">
        <v>73</v>
      </c>
    </row>
    <row r="114" ht="15" customHeight="1" s="14">
      <c r="A114" s="17" t="n">
        <v>113</v>
      </c>
      <c r="B114" s="17" t="inlineStr">
        <is>
          <t>Bill Witt</t>
        </is>
      </c>
      <c r="C114" s="18" t="n">
        <v>50314859</v>
      </c>
      <c r="D114" s="17" t="inlineStr">
        <is>
          <t>USA</t>
        </is>
      </c>
      <c r="E114" s="17" t="n">
        <v>19</v>
      </c>
      <c r="F114" s="17" t="inlineStr">
        <is>
          <t>Yes (from draft season)</t>
        </is>
      </c>
      <c r="G114" s="17" t="inlineStr">
        <is>
          <t>MVP</t>
        </is>
      </c>
      <c r="H114" s="17" t="inlineStr">
        <is>
          <t>PG</t>
        </is>
      </c>
      <c r="I114" s="17" t="n">
        <v>201</v>
      </c>
      <c r="J114" s="17" t="n">
        <v>10</v>
      </c>
      <c r="K114" s="17" t="inlineStr">
        <is>
          <t>Yes</t>
        </is>
      </c>
      <c r="L114" s="19" t="n">
        <v>44674</v>
      </c>
      <c r="M114" s="20" t="n">
        <v>50000</v>
      </c>
      <c r="N114" s="19" t="n">
        <v>44709</v>
      </c>
      <c r="O114" s="20" t="n">
        <v>137800</v>
      </c>
      <c r="P114" s="20">
        <f>O114-M114</f>
        <v/>
      </c>
      <c r="Q114" s="21">
        <f>IF(M114=0,"",O114/M114)</f>
        <v/>
      </c>
      <c r="R114" s="22">
        <f>N114-L114</f>
        <v/>
      </c>
      <c r="S114" s="23" t="n">
        <v>6107</v>
      </c>
      <c r="T114" s="23" t="n">
        <v>6107</v>
      </c>
      <c r="U114" s="24">
        <f>M114/S114</f>
        <v/>
      </c>
      <c r="V114" s="24">
        <f>O114/S114</f>
        <v/>
      </c>
      <c r="W114" s="23" t="n">
        <v>7788</v>
      </c>
      <c r="X114" s="23" t="n">
        <v>9494</v>
      </c>
      <c r="Y114" s="23" t="n">
        <v>11059</v>
      </c>
      <c r="Z114" s="23" t="n">
        <v>11814</v>
      </c>
      <c r="AA114" s="25" t="n">
        <v>68</v>
      </c>
    </row>
    <row r="115" ht="15" customHeight="1" s="14">
      <c r="A115" s="17" t="n">
        <v>114</v>
      </c>
      <c r="B115" s="17" t="inlineStr">
        <is>
          <t>Dimos Drakoglou</t>
        </is>
      </c>
      <c r="C115" s="18" t="n">
        <v>50566300</v>
      </c>
      <c r="D115" s="17" t="inlineStr">
        <is>
          <t>Cyprus</t>
        </is>
      </c>
      <c r="E115" s="17" t="n">
        <v>19</v>
      </c>
      <c r="F115" s="17" t="inlineStr">
        <is>
          <t>Yes (from draft season)</t>
        </is>
      </c>
      <c r="G115" s="17" t="inlineStr">
        <is>
          <t>MVP</t>
        </is>
      </c>
      <c r="H115" s="17" t="inlineStr">
        <is>
          <t>PF</t>
        </is>
      </c>
      <c r="I115" s="17" t="n">
        <v>188</v>
      </c>
      <c r="J115" s="17" t="n">
        <v>2</v>
      </c>
      <c r="K115" s="17" t="inlineStr">
        <is>
          <t>Yes</t>
        </is>
      </c>
      <c r="L115" s="19" t="n">
        <v>44676</v>
      </c>
      <c r="M115" s="20" t="n">
        <v>102000</v>
      </c>
      <c r="N115" s="19" t="n">
        <v>44716</v>
      </c>
      <c r="O115" s="20" t="n">
        <v>255000</v>
      </c>
      <c r="P115" s="20">
        <f>O115-M115</f>
        <v/>
      </c>
      <c r="Q115" s="21">
        <f>IF(M115=0,"",O115/M115)</f>
        <v/>
      </c>
      <c r="R115" s="22">
        <f>N115-L115</f>
        <v/>
      </c>
      <c r="S115" s="23" t="n">
        <v>7672</v>
      </c>
      <c r="T115" s="23" t="n">
        <v>7672</v>
      </c>
      <c r="U115" s="24">
        <f>M115/S115</f>
        <v/>
      </c>
      <c r="V115" s="24">
        <f>O115/S115</f>
        <v/>
      </c>
      <c r="W115" s="23" t="n">
        <v>9113</v>
      </c>
      <c r="X115" s="23" t="n">
        <v>12442</v>
      </c>
      <c r="Y115" s="23" t="n">
        <v>17867</v>
      </c>
      <c r="Z115" s="23" t="n">
        <v>25550</v>
      </c>
      <c r="AA115" s="25" t="n">
        <v>69</v>
      </c>
    </row>
    <row r="116" ht="15" customHeight="1" s="14">
      <c r="A116" s="17" t="n">
        <v>115</v>
      </c>
      <c r="B116" s="17" t="inlineStr">
        <is>
          <t>Tommy Mameli</t>
        </is>
      </c>
      <c r="C116" s="18" t="n">
        <v>50705727</v>
      </c>
      <c r="D116" s="17" t="inlineStr">
        <is>
          <t>Italia</t>
        </is>
      </c>
      <c r="E116" s="17" t="n">
        <v>18</v>
      </c>
      <c r="F116" s="17" t="inlineStr">
        <is>
          <t>Yes (from draft season)</t>
        </is>
      </c>
      <c r="G116" s="17" t="inlineStr">
        <is>
          <t>hall of famer</t>
        </is>
      </c>
      <c r="H116" s="17" t="inlineStr">
        <is>
          <t>SF</t>
        </is>
      </c>
      <c r="I116" s="17" t="n">
        <v>190</v>
      </c>
      <c r="J116" s="17" t="n">
        <v>5</v>
      </c>
      <c r="K116" s="17" t="inlineStr">
        <is>
          <t>Yes</t>
        </is>
      </c>
      <c r="L116" s="19" t="n">
        <v>44676</v>
      </c>
      <c r="M116" s="20" t="n">
        <v>55555</v>
      </c>
      <c r="N116" s="19" t="n">
        <v>44728</v>
      </c>
      <c r="O116" s="20" t="n">
        <v>150000</v>
      </c>
      <c r="P116" s="20">
        <f>O116-M116</f>
        <v/>
      </c>
      <c r="Q116" s="21">
        <f>IF(M116=0,"",O116/M116)</f>
        <v/>
      </c>
      <c r="R116" s="22">
        <f>N116-L116</f>
        <v/>
      </c>
      <c r="S116" s="23" t="n">
        <v>3204</v>
      </c>
      <c r="T116" s="23" t="n">
        <v>3204</v>
      </c>
      <c r="U116" s="24">
        <f>M116/S116</f>
        <v/>
      </c>
      <c r="V116" s="24">
        <f>O116/S116</f>
        <v/>
      </c>
      <c r="W116" s="23" t="n">
        <v>3855</v>
      </c>
      <c r="X116" s="23" t="n">
        <v>3861</v>
      </c>
      <c r="Y116" s="23" t="n">
        <v>3867</v>
      </c>
      <c r="Z116" s="23" t="n">
        <v>3867</v>
      </c>
      <c r="AA116" s="25" t="n">
        <v>67</v>
      </c>
    </row>
    <row r="117" ht="15" customHeight="1" s="14">
      <c r="A117" s="17" t="n">
        <v>116</v>
      </c>
      <c r="B117" s="17" t="inlineStr">
        <is>
          <t>Almants Iesalmanis</t>
        </is>
      </c>
      <c r="C117" s="18" t="n">
        <v>50511506</v>
      </c>
      <c r="D117" s="17" t="inlineStr">
        <is>
          <t>Latvija</t>
        </is>
      </c>
      <c r="E117" s="17" t="n">
        <v>19</v>
      </c>
      <c r="F117" s="17" t="inlineStr">
        <is>
          <t>Yes (from draft season)</t>
        </is>
      </c>
      <c r="G117" s="17" t="inlineStr">
        <is>
          <t>MVP</t>
        </is>
      </c>
      <c r="H117" s="17" t="inlineStr">
        <is>
          <t>PG</t>
        </is>
      </c>
      <c r="I117" s="17" t="n">
        <v>201</v>
      </c>
      <c r="J117" s="17" t="n">
        <v>12</v>
      </c>
      <c r="K117" s="17" t="inlineStr">
        <is>
          <t>Yes</t>
        </is>
      </c>
      <c r="L117" s="19" t="n">
        <v>44676</v>
      </c>
      <c r="M117" s="20" t="n">
        <v>120000</v>
      </c>
      <c r="N117" s="19" t="n">
        <v>44714</v>
      </c>
      <c r="O117" s="20" t="n">
        <v>250000</v>
      </c>
      <c r="P117" s="20">
        <f>O117-M117</f>
        <v/>
      </c>
      <c r="Q117" s="21">
        <f>IF(M117=0,"",O117/M117)</f>
        <v/>
      </c>
      <c r="R117" s="22">
        <f>N117-L117</f>
        <v/>
      </c>
      <c r="S117" s="23" t="n">
        <v>5314</v>
      </c>
      <c r="T117" s="23" t="n">
        <v>5314</v>
      </c>
      <c r="U117" s="24">
        <f>M117/S117</f>
        <v/>
      </c>
      <c r="V117" s="24">
        <f>O117/S117</f>
        <v/>
      </c>
      <c r="W117" s="23" t="n">
        <v>6370</v>
      </c>
      <c r="X117" s="23" t="n">
        <v>7050</v>
      </c>
      <c r="Y117" s="23" t="n">
        <v>7270</v>
      </c>
      <c r="Z117" s="23" t="n">
        <v>7270</v>
      </c>
      <c r="AA117" s="25" t="n">
        <v>65</v>
      </c>
    </row>
    <row r="118" ht="15" customHeight="1" s="14">
      <c r="A118" s="17" t="n">
        <v>117</v>
      </c>
      <c r="B118" s="17" t="inlineStr">
        <is>
          <t>Jordan Schmelzer</t>
        </is>
      </c>
      <c r="C118" s="18" t="n">
        <v>51402902</v>
      </c>
      <c r="D118" s="17" t="inlineStr">
        <is>
          <t>Nederland</t>
        </is>
      </c>
      <c r="E118" s="17" t="n">
        <v>18</v>
      </c>
      <c r="F118" s="17" t="inlineStr">
        <is>
          <t>Yes (from draft season)</t>
        </is>
      </c>
      <c r="G118" s="17" t="inlineStr">
        <is>
          <t>hall of famer</t>
        </is>
      </c>
      <c r="H118" s="17" t="inlineStr">
        <is>
          <t>SF</t>
        </is>
      </c>
      <c r="I118" s="17" t="n">
        <v>198</v>
      </c>
      <c r="J118" s="17" t="n">
        <v>4</v>
      </c>
      <c r="K118" s="17" t="inlineStr">
        <is>
          <t>Yes</t>
        </is>
      </c>
      <c r="L118" s="19" t="n">
        <v>44869</v>
      </c>
      <c r="M118" s="20" t="n">
        <v>66666</v>
      </c>
      <c r="N118" s="19" t="n">
        <v>44895</v>
      </c>
      <c r="O118" s="20" t="n">
        <v>178600</v>
      </c>
      <c r="P118" s="20">
        <f>O118-M118</f>
        <v/>
      </c>
      <c r="Q118" s="21">
        <f>IF(M118=0,"",O118/M118)</f>
        <v/>
      </c>
      <c r="R118" s="22">
        <f>N118-L118</f>
        <v/>
      </c>
      <c r="S118" s="23" t="n">
        <v>3562</v>
      </c>
      <c r="T118" s="23" t="n">
        <v>3562</v>
      </c>
      <c r="U118" s="24">
        <f>M118/S118</f>
        <v/>
      </c>
      <c r="V118" s="24">
        <f>O118/S118</f>
        <v/>
      </c>
      <c r="W118" s="23" t="n"/>
      <c r="X118" s="23" t="n"/>
      <c r="Y118" s="23" t="n"/>
      <c r="Z118" s="23" t="n">
        <v>3562</v>
      </c>
      <c r="AA118" s="25" t="n">
        <v>60</v>
      </c>
    </row>
    <row r="119" ht="15" customHeight="1" s="14">
      <c r="A119" s="17" t="n">
        <v>118</v>
      </c>
      <c r="B119" s="17" t="inlineStr">
        <is>
          <t>Ronulfo Rojas</t>
        </is>
      </c>
      <c r="C119" s="18" t="n">
        <v>51528877</v>
      </c>
      <c r="D119" s="17" t="inlineStr">
        <is>
          <t>Ecuador</t>
        </is>
      </c>
      <c r="E119" s="17" t="n">
        <v>18</v>
      </c>
      <c r="F119" s="17" t="inlineStr">
        <is>
          <t>Yes (from draft season)</t>
        </is>
      </c>
      <c r="G119" s="17" t="inlineStr">
        <is>
          <t>hall of famer</t>
        </is>
      </c>
      <c r="H119" s="17" t="inlineStr">
        <is>
          <t>PF</t>
        </is>
      </c>
      <c r="I119" s="17" t="n">
        <v>196</v>
      </c>
      <c r="J119" s="17" t="n">
        <v>2</v>
      </c>
      <c r="K119" s="17" t="inlineStr">
        <is>
          <t>No</t>
        </is>
      </c>
      <c r="L119" s="19" t="n">
        <v>44869</v>
      </c>
      <c r="M119" s="20" t="n">
        <v>66666</v>
      </c>
      <c r="N119" s="19" t="n">
        <v>44919</v>
      </c>
      <c r="O119" s="20" t="n">
        <v>142600</v>
      </c>
      <c r="P119" s="20">
        <f>O119-M119</f>
        <v/>
      </c>
      <c r="Q119" s="21">
        <f>IF(M119=0,"",O119/M119)</f>
        <v/>
      </c>
      <c r="R119" s="22">
        <f>N119-L119</f>
        <v/>
      </c>
      <c r="S119" s="23" t="n">
        <v>2978</v>
      </c>
      <c r="T119" s="23" t="n">
        <v>2978</v>
      </c>
      <c r="U119" s="24">
        <f>M119/S119</f>
        <v/>
      </c>
      <c r="V119" s="24">
        <f>O119/S119</f>
        <v/>
      </c>
      <c r="W119" s="23" t="n">
        <v>7060</v>
      </c>
      <c r="X119" s="23" t="n">
        <v>8028</v>
      </c>
      <c r="Y119" s="23" t="n">
        <v>8560</v>
      </c>
      <c r="Z119" s="23" t="n">
        <v>10912</v>
      </c>
      <c r="AA119" s="25" t="n">
        <v>71</v>
      </c>
    </row>
    <row r="120" ht="15" customHeight="1" s="14">
      <c r="A120" s="17" t="n">
        <v>119</v>
      </c>
      <c r="B120" s="17" t="inlineStr">
        <is>
          <t>Toivo Liikkanen</t>
        </is>
      </c>
      <c r="C120" s="18" t="n">
        <v>51510265</v>
      </c>
      <c r="D120" s="17" t="inlineStr">
        <is>
          <t>Suomi</t>
        </is>
      </c>
      <c r="E120" s="17" t="n">
        <v>18</v>
      </c>
      <c r="F120" s="17" t="inlineStr">
        <is>
          <t>Yes (from draft season)</t>
        </is>
      </c>
      <c r="G120" s="17" t="inlineStr">
        <is>
          <t>hall of famer</t>
        </is>
      </c>
      <c r="H120" s="17" t="inlineStr">
        <is>
          <t>C</t>
        </is>
      </c>
      <c r="I120" s="17" t="n">
        <v>211</v>
      </c>
      <c r="J120" s="17" t="n">
        <v>47</v>
      </c>
      <c r="K120" s="17" t="inlineStr">
        <is>
          <t>No</t>
        </is>
      </c>
      <c r="L120" s="19" t="n">
        <v>44869</v>
      </c>
      <c r="M120" s="20" t="n">
        <v>44000</v>
      </c>
      <c r="N120" s="19" t="n">
        <v>44916</v>
      </c>
      <c r="O120" s="20" t="n">
        <v>101000</v>
      </c>
      <c r="P120" s="20">
        <f>O120-M120</f>
        <v/>
      </c>
      <c r="Q120" s="21">
        <f>IF(M120=0,"",O120/M120)</f>
        <v/>
      </c>
      <c r="R120" s="22">
        <f>N120-L120</f>
        <v/>
      </c>
      <c r="S120" s="23" t="n">
        <v>2396</v>
      </c>
      <c r="T120" s="23" t="n">
        <v>2396</v>
      </c>
      <c r="U120" s="24">
        <f>M120/S120</f>
        <v/>
      </c>
      <c r="V120" s="24">
        <f>O120/S120</f>
        <v/>
      </c>
      <c r="W120" s="23" t="n"/>
      <c r="X120" s="23" t="n"/>
      <c r="Y120" s="23" t="n"/>
      <c r="Z120" s="23" t="n">
        <v>3363</v>
      </c>
      <c r="AA120" s="25" t="n">
        <v>61</v>
      </c>
    </row>
    <row r="121" ht="15" customHeight="1" s="14">
      <c r="A121" s="17" t="n">
        <v>120</v>
      </c>
      <c r="B121" s="17" t="inlineStr">
        <is>
          <t>Freddy Chahal</t>
        </is>
      </c>
      <c r="C121" s="18" t="n">
        <v>51210062</v>
      </c>
      <c r="D121" s="17" t="inlineStr">
        <is>
          <t>England</t>
        </is>
      </c>
      <c r="E121" s="17" t="n">
        <v>19</v>
      </c>
      <c r="F121" s="17" t="inlineStr">
        <is>
          <t>Yes (from draft season)</t>
        </is>
      </c>
      <c r="G121" s="17" t="inlineStr">
        <is>
          <t>MVP</t>
        </is>
      </c>
      <c r="H121" s="17" t="inlineStr">
        <is>
          <t>SF</t>
        </is>
      </c>
      <c r="I121" s="17" t="n">
        <v>185</v>
      </c>
      <c r="J121" s="17" t="n">
        <v>19</v>
      </c>
      <c r="K121" s="17" t="inlineStr">
        <is>
          <t>No</t>
        </is>
      </c>
      <c r="L121" s="19" t="n">
        <v>44872</v>
      </c>
      <c r="M121" s="20" t="n">
        <v>50000</v>
      </c>
      <c r="N121" s="19" t="n">
        <v>44937</v>
      </c>
      <c r="O121" s="20" t="n">
        <v>127600</v>
      </c>
      <c r="P121" s="20">
        <f>O121-M121</f>
        <v/>
      </c>
      <c r="Q121" s="21">
        <f>IF(M121=0,"",O121/M121)</f>
        <v/>
      </c>
      <c r="R121" s="22">
        <f>N121-L121</f>
        <v/>
      </c>
      <c r="S121" s="23" t="n">
        <v>4220</v>
      </c>
      <c r="T121" s="23" t="n">
        <v>4220</v>
      </c>
      <c r="U121" s="24">
        <f>M121/S121</f>
        <v/>
      </c>
      <c r="V121" s="24">
        <f>O121/S121</f>
        <v/>
      </c>
      <c r="W121" s="23" t="n">
        <v>20565</v>
      </c>
      <c r="X121" s="23" t="n">
        <v>53622</v>
      </c>
      <c r="Y121" s="23" t="n"/>
      <c r="Z121" s="23" t="n">
        <v>53622</v>
      </c>
      <c r="AA121" s="25" t="n">
        <v>64</v>
      </c>
    </row>
    <row r="122" ht="15" customHeight="1" s="14">
      <c r="A122" s="17" t="n">
        <v>121</v>
      </c>
      <c r="B122" s="17" t="inlineStr">
        <is>
          <t>Marin Halić</t>
        </is>
      </c>
      <c r="C122" s="18" t="n">
        <v>51528356</v>
      </c>
      <c r="D122" s="17" t="inlineStr">
        <is>
          <t>Hrvatska</t>
        </is>
      </c>
      <c r="E122" s="17" t="n">
        <v>19</v>
      </c>
      <c r="F122" s="17" t="inlineStr">
        <is>
          <t>Yes (from draft season)</t>
        </is>
      </c>
      <c r="G122" s="17" t="inlineStr">
        <is>
          <t>MVP</t>
        </is>
      </c>
      <c r="H122" s="17" t="inlineStr">
        <is>
          <t>PG</t>
        </is>
      </c>
      <c r="I122" s="17" t="n">
        <v>188</v>
      </c>
      <c r="J122" s="17" t="n">
        <v>19</v>
      </c>
      <c r="K122" s="17" t="inlineStr">
        <is>
          <t>No</t>
        </is>
      </c>
      <c r="L122" s="19" t="n">
        <v>44969</v>
      </c>
      <c r="M122" s="20" t="n">
        <v>104100</v>
      </c>
      <c r="N122" s="19" t="n">
        <v>45011</v>
      </c>
      <c r="O122" s="20" t="n">
        <v>199000</v>
      </c>
      <c r="P122" s="20">
        <f>O122-M122</f>
        <v/>
      </c>
      <c r="Q122" s="21">
        <f>IF(M122=0,"",O122/M122)</f>
        <v/>
      </c>
      <c r="R122" s="22">
        <f>N122-L122</f>
        <v/>
      </c>
      <c r="S122" s="23" t="n">
        <v>5469</v>
      </c>
      <c r="T122" s="23" t="n">
        <v>5469</v>
      </c>
      <c r="U122" s="24">
        <f>M122/S122</f>
        <v/>
      </c>
      <c r="V122" s="24">
        <f>O122/S122</f>
        <v/>
      </c>
      <c r="W122" s="23" t="n">
        <v>7828</v>
      </c>
      <c r="X122" s="23" t="n">
        <v>9629</v>
      </c>
      <c r="Y122" s="23" t="n">
        <v>10148</v>
      </c>
      <c r="Z122" s="23" t="n">
        <v>10379</v>
      </c>
      <c r="AA122" s="25" t="n">
        <v>70</v>
      </c>
    </row>
    <row r="123" ht="15" customHeight="1" s="14">
      <c r="A123" s="17" t="n">
        <v>122</v>
      </c>
      <c r="B123" s="17" t="inlineStr">
        <is>
          <t>Benigno Jamandre</t>
        </is>
      </c>
      <c r="C123" s="18" t="n">
        <v>52171297</v>
      </c>
      <c r="D123" s="17" t="inlineStr">
        <is>
          <t>Pilipinas</t>
        </is>
      </c>
      <c r="E123" s="17" t="n">
        <v>18</v>
      </c>
      <c r="F123" s="17" t="inlineStr">
        <is>
          <t>Yes (from draft season)</t>
        </is>
      </c>
      <c r="G123" s="17" t="inlineStr">
        <is>
          <t>hall of famer</t>
        </is>
      </c>
      <c r="H123" s="17" t="inlineStr">
        <is>
          <t>SG</t>
        </is>
      </c>
      <c r="I123" s="17" t="n">
        <v>183</v>
      </c>
      <c r="J123" s="17" t="n">
        <v>18</v>
      </c>
      <c r="K123" s="17" t="inlineStr">
        <is>
          <t>No</t>
        </is>
      </c>
      <c r="L123" s="19" t="n">
        <v>45072</v>
      </c>
      <c r="M123" s="20" t="n">
        <v>112200</v>
      </c>
      <c r="N123" s="19" t="n">
        <v>45151</v>
      </c>
      <c r="O123" s="20" t="n">
        <v>175000</v>
      </c>
      <c r="P123" s="20">
        <f>O123-M123</f>
        <v/>
      </c>
      <c r="Q123" s="21">
        <f>IF(M123=0,"",O123/M123)</f>
        <v/>
      </c>
      <c r="R123" s="22">
        <f>N123-L123</f>
        <v/>
      </c>
      <c r="S123" s="23" t="n">
        <v>5645</v>
      </c>
      <c r="T123" s="23" t="n">
        <v>5645</v>
      </c>
      <c r="U123" s="24">
        <f>M123/S123</f>
        <v/>
      </c>
      <c r="V123" s="24">
        <f>O123/S123</f>
        <v/>
      </c>
      <c r="W123" s="23" t="n">
        <v>9212</v>
      </c>
      <c r="X123" s="23" t="n">
        <v>9969</v>
      </c>
      <c r="Y123" s="23" t="n">
        <v>10094</v>
      </c>
      <c r="Z123" s="23" t="n">
        <v>10094</v>
      </c>
      <c r="AA123" s="25" t="n">
        <v>69</v>
      </c>
    </row>
    <row r="124" ht="15" customHeight="1" s="14">
      <c r="A124" s="17" t="n">
        <v>123</v>
      </c>
      <c r="B124" s="17" t="inlineStr">
        <is>
          <t>Aldo Nicotra</t>
        </is>
      </c>
      <c r="C124" s="18" t="n">
        <v>51660903</v>
      </c>
      <c r="D124" s="17" t="inlineStr">
        <is>
          <t>Italia</t>
        </is>
      </c>
      <c r="E124" s="17" t="n">
        <v>19</v>
      </c>
      <c r="F124" s="17" t="inlineStr">
        <is>
          <t>Yes (from draft season)</t>
        </is>
      </c>
      <c r="G124" s="17" t="inlineStr">
        <is>
          <t>MVP</t>
        </is>
      </c>
      <c r="H124" s="17" t="inlineStr">
        <is>
          <t>PG</t>
        </is>
      </c>
      <c r="I124" s="17" t="n">
        <v>185</v>
      </c>
      <c r="J124" s="17" t="n">
        <v>39</v>
      </c>
      <c r="K124" s="17" t="inlineStr">
        <is>
          <t>Yes</t>
        </is>
      </c>
      <c r="L124" s="19" t="n">
        <v>45075</v>
      </c>
      <c r="M124" s="20" t="n">
        <v>101000</v>
      </c>
      <c r="N124" s="19" t="n">
        <v>45130</v>
      </c>
      <c r="O124" s="20" t="n">
        <v>150000</v>
      </c>
      <c r="P124" s="20">
        <f>O124-M124</f>
        <v/>
      </c>
      <c r="Q124" s="21">
        <f>IF(M124=0,"",O124/M124)</f>
        <v/>
      </c>
      <c r="R124" s="22">
        <f>N124-L124</f>
        <v/>
      </c>
      <c r="S124" s="23" t="n">
        <v>6657</v>
      </c>
      <c r="T124" s="23" t="n">
        <v>6657</v>
      </c>
      <c r="U124" s="24">
        <f>M124/S124</f>
        <v/>
      </c>
      <c r="V124" s="24">
        <f>O124/S124</f>
        <v/>
      </c>
      <c r="W124" s="23" t="n">
        <v>9462</v>
      </c>
      <c r="X124" s="23" t="n">
        <v>10928</v>
      </c>
      <c r="Y124" s="23" t="n">
        <v>15615</v>
      </c>
      <c r="Z124" s="23" t="n">
        <v>24235</v>
      </c>
      <c r="AA124" s="25" t="n">
        <v>71</v>
      </c>
    </row>
    <row r="125" ht="15" customHeight="1" s="14">
      <c r="A125" s="17" t="n">
        <v>124</v>
      </c>
      <c r="B125" s="17" t="inlineStr">
        <is>
          <t>Lutz Kathmann</t>
        </is>
      </c>
      <c r="C125" s="18" t="n">
        <v>52592706</v>
      </c>
      <c r="D125" s="17" t="inlineStr">
        <is>
          <t>Deutschland</t>
        </is>
      </c>
      <c r="E125" s="17" t="n">
        <v>18</v>
      </c>
      <c r="F125" s="17" t="inlineStr">
        <is>
          <t>Yes (from draft season)</t>
        </is>
      </c>
      <c r="G125" s="17" t="inlineStr">
        <is>
          <t>hall of famer</t>
        </is>
      </c>
      <c r="H125" s="17" t="inlineStr">
        <is>
          <t>PG</t>
        </is>
      </c>
      <c r="I125" s="17" t="n">
        <v>193</v>
      </c>
      <c r="J125" s="17" t="n">
        <v>43</v>
      </c>
      <c r="K125" s="17" t="inlineStr">
        <is>
          <t>Yes</t>
        </is>
      </c>
      <c r="L125" s="19" t="n">
        <v>45163</v>
      </c>
      <c r="M125" s="20" t="n">
        <v>77777</v>
      </c>
      <c r="N125" s="19" t="n">
        <v>45233</v>
      </c>
      <c r="O125" s="20" t="n">
        <v>207100</v>
      </c>
      <c r="P125" s="20">
        <f>O125-M125</f>
        <v/>
      </c>
      <c r="Q125" s="21">
        <f>IF(M125=0,"",O125/M125)</f>
        <v/>
      </c>
      <c r="R125" s="22">
        <f>N125-L125</f>
        <v/>
      </c>
      <c r="S125" s="23" t="n">
        <v>3377</v>
      </c>
      <c r="T125" s="23" t="n">
        <v>3377</v>
      </c>
      <c r="U125" s="24">
        <f>M125/S125</f>
        <v/>
      </c>
      <c r="V125" s="24">
        <f>O125/S125</f>
        <v/>
      </c>
      <c r="W125" s="23" t="n">
        <v>3352</v>
      </c>
      <c r="X125" s="23" t="n">
        <v>3778</v>
      </c>
      <c r="Y125" s="23" t="n">
        <v>4208</v>
      </c>
      <c r="Z125" s="23" t="n">
        <v>4243</v>
      </c>
      <c r="AA125" s="25" t="n">
        <v>71</v>
      </c>
    </row>
    <row r="126" ht="15" customHeight="1" s="14">
      <c r="A126" s="17" t="n">
        <v>125</v>
      </c>
      <c r="B126" s="17" t="inlineStr">
        <is>
          <t>Ioannis Pekos</t>
        </is>
      </c>
      <c r="C126" s="18" t="n">
        <v>52438974</v>
      </c>
      <c r="D126" s="17" t="inlineStr">
        <is>
          <t>Hellas</t>
        </is>
      </c>
      <c r="E126" s="17" t="n">
        <v>19</v>
      </c>
      <c r="F126" s="17" t="inlineStr">
        <is>
          <t>No</t>
        </is>
      </c>
      <c r="G126" s="17" t="inlineStr">
        <is>
          <t>hall of famer</t>
        </is>
      </c>
      <c r="H126" s="17" t="inlineStr">
        <is>
          <t>C</t>
        </is>
      </c>
      <c r="I126" s="17" t="n">
        <v>203</v>
      </c>
      <c r="J126" s="17" t="n">
        <v>30</v>
      </c>
      <c r="K126" s="17" t="inlineStr">
        <is>
          <t>No</t>
        </is>
      </c>
      <c r="L126" s="19" t="n">
        <v>45163</v>
      </c>
      <c r="M126" s="20" t="n">
        <v>92600</v>
      </c>
      <c r="N126" s="19" t="n">
        <v>45190</v>
      </c>
      <c r="O126" s="20" t="n">
        <v>195000</v>
      </c>
      <c r="P126" s="20">
        <f>O126-M126</f>
        <v/>
      </c>
      <c r="Q126" s="21">
        <f>IF(M126=0,"",O126/M126)</f>
        <v/>
      </c>
      <c r="R126" s="22">
        <f>N126-L126</f>
        <v/>
      </c>
      <c r="S126" s="23" t="n">
        <v>3965</v>
      </c>
      <c r="T126" s="23" t="n">
        <v>3965</v>
      </c>
      <c r="U126" s="24">
        <f>M126/S126</f>
        <v/>
      </c>
      <c r="V126" s="24">
        <f>O126/S126</f>
        <v/>
      </c>
      <c r="W126" s="23" t="n">
        <v>12135</v>
      </c>
      <c r="X126" s="23" t="n">
        <v>36645</v>
      </c>
      <c r="Y126" s="23" t="n">
        <v>103456</v>
      </c>
      <c r="Z126" s="23" t="n">
        <v>223363</v>
      </c>
      <c r="AA126" s="25" t="n">
        <v>73</v>
      </c>
    </row>
    <row r="127" ht="15" customHeight="1" s="14">
      <c r="A127" s="17" t="n">
        <v>126</v>
      </c>
      <c r="B127" s="17" t="inlineStr">
        <is>
          <t>Antonio Primorac</t>
        </is>
      </c>
      <c r="C127" s="18" t="n">
        <v>52498212</v>
      </c>
      <c r="D127" s="17" t="inlineStr">
        <is>
          <t>Hrvatska</t>
        </is>
      </c>
      <c r="E127" s="17" t="n">
        <v>19</v>
      </c>
      <c r="F127" s="17" t="inlineStr">
        <is>
          <t>No</t>
        </is>
      </c>
      <c r="G127" s="17" t="inlineStr">
        <is>
          <t>hall of famer</t>
        </is>
      </c>
      <c r="H127" s="17" t="inlineStr">
        <is>
          <t>PF</t>
        </is>
      </c>
      <c r="I127" s="17" t="n">
        <v>211</v>
      </c>
      <c r="J127" s="17" t="n">
        <v>1</v>
      </c>
      <c r="K127" s="17" t="inlineStr">
        <is>
          <t>Yes</t>
        </is>
      </c>
      <c r="L127" s="19" t="n">
        <v>45165</v>
      </c>
      <c r="M127" s="20" t="n">
        <v>102000</v>
      </c>
      <c r="N127" s="19" t="n">
        <v>45204</v>
      </c>
      <c r="O127" s="20" t="n">
        <v>275000</v>
      </c>
      <c r="P127" s="20">
        <f>O127-M127</f>
        <v/>
      </c>
      <c r="Q127" s="21">
        <f>IF(M127=0,"",O127/M127)</f>
        <v/>
      </c>
      <c r="R127" s="22">
        <f>N127-L127</f>
        <v/>
      </c>
      <c r="S127" s="23" t="n">
        <v>4798</v>
      </c>
      <c r="T127" s="23" t="n">
        <v>4798</v>
      </c>
      <c r="U127" s="24">
        <f>M127/S127</f>
        <v/>
      </c>
      <c r="V127" s="24">
        <f>O127/S127</f>
        <v/>
      </c>
      <c r="W127" s="23" t="n">
        <v>10010</v>
      </c>
      <c r="X127" s="23" t="n">
        <v>13194</v>
      </c>
      <c r="Y127" s="23" t="n">
        <v>13440</v>
      </c>
      <c r="Z127" s="23" t="n">
        <v>14490</v>
      </c>
      <c r="AA127" s="25" t="n">
        <v>73</v>
      </c>
    </row>
    <row r="128" ht="15" customHeight="1" s="14">
      <c r="A128" s="17" t="n">
        <v>127</v>
      </c>
      <c r="B128" s="17" t="inlineStr">
        <is>
          <t>Leon Gustafson</t>
        </is>
      </c>
      <c r="C128" s="18" t="n">
        <v>52333269</v>
      </c>
      <c r="D128" s="17" t="inlineStr">
        <is>
          <t>USA</t>
        </is>
      </c>
      <c r="E128" s="17" t="n">
        <v>18</v>
      </c>
      <c r="F128" s="17" t="inlineStr">
        <is>
          <t>Yes (from draft season)</t>
        </is>
      </c>
      <c r="G128" s="17" t="inlineStr">
        <is>
          <t>hall of famer</t>
        </is>
      </c>
      <c r="H128" s="17" t="inlineStr">
        <is>
          <t>PG</t>
        </is>
      </c>
      <c r="I128" s="17" t="n">
        <v>185</v>
      </c>
      <c r="J128" s="17" t="n">
        <v>9</v>
      </c>
      <c r="K128" s="17" t="inlineStr">
        <is>
          <t>Yes</t>
        </is>
      </c>
      <c r="L128" s="19" t="n">
        <v>45167</v>
      </c>
      <c r="M128" s="20" t="n">
        <v>8000</v>
      </c>
      <c r="N128" s="19" t="n">
        <v>45220</v>
      </c>
      <c r="O128" s="20" t="n">
        <v>195000</v>
      </c>
      <c r="P128" s="20">
        <f>O128-M128</f>
        <v/>
      </c>
      <c r="Q128" s="21">
        <f>IF(M128=0,"",O128/M128)</f>
        <v/>
      </c>
      <c r="R128" s="22">
        <f>N128-L128</f>
        <v/>
      </c>
      <c r="S128" s="23" t="n">
        <v>4305</v>
      </c>
      <c r="T128" s="23" t="n">
        <v>4305</v>
      </c>
      <c r="U128" s="24">
        <f>M128/S128</f>
        <v/>
      </c>
      <c r="V128" s="24">
        <f>O128/S128</f>
        <v/>
      </c>
      <c r="W128" s="23" t="n">
        <v>7158</v>
      </c>
      <c r="X128" s="23" t="n"/>
      <c r="Y128" s="23" t="n"/>
      <c r="Z128" s="23" t="n">
        <v>7158</v>
      </c>
      <c r="AA128" s="25" t="n">
        <v>66</v>
      </c>
    </row>
    <row r="129" ht="15" customHeight="1" s="14">
      <c r="A129" s="17" t="n">
        <v>128</v>
      </c>
      <c r="B129" s="17" t="inlineStr">
        <is>
          <t>Guo Chonghuan</t>
        </is>
      </c>
      <c r="C129" s="18" t="n">
        <v>53693413</v>
      </c>
      <c r="D129" s="17" t="inlineStr">
        <is>
          <t>China</t>
        </is>
      </c>
      <c r="E129" s="17" t="n">
        <v>18</v>
      </c>
      <c r="F129" s="17" t="inlineStr">
        <is>
          <t>Yes (from draft season)</t>
        </is>
      </c>
      <c r="G129" s="17" t="inlineStr">
        <is>
          <t>MVP</t>
        </is>
      </c>
      <c r="H129" s="17" t="inlineStr">
        <is>
          <t>PF</t>
        </is>
      </c>
      <c r="I129" s="17" t="n">
        <v>203</v>
      </c>
      <c r="J129" s="17" t="n">
        <v>29</v>
      </c>
      <c r="K129" s="17" t="inlineStr">
        <is>
          <t>No</t>
        </is>
      </c>
      <c r="L129" s="19" t="n">
        <v>45642</v>
      </c>
      <c r="M129" s="20" t="n">
        <v>21000</v>
      </c>
      <c r="N129" s="19" t="n">
        <v>45701</v>
      </c>
      <c r="O129" s="20" t="n">
        <v>99000</v>
      </c>
      <c r="P129" s="20">
        <f>O129-M129</f>
        <v/>
      </c>
      <c r="Q129" s="21">
        <f>IF(M129=0,"",O129/M129)</f>
        <v/>
      </c>
      <c r="R129" s="22">
        <f>N129-L129</f>
        <v/>
      </c>
      <c r="S129" s="23" t="n">
        <v>4050</v>
      </c>
      <c r="T129" s="23" t="n">
        <v>5413</v>
      </c>
      <c r="U129" s="24">
        <f>M129/S129</f>
        <v/>
      </c>
      <c r="V129" s="24">
        <f>O129/S129</f>
        <v/>
      </c>
      <c r="W129" s="23" t="n">
        <v>5909</v>
      </c>
      <c r="X129" s="23" t="n">
        <v>7012</v>
      </c>
      <c r="Y129" s="23" t="n"/>
      <c r="Z129" s="23" t="n">
        <v>7012</v>
      </c>
      <c r="AA129" s="25" t="n">
        <v>72</v>
      </c>
    </row>
    <row r="130" ht="15" customHeight="1" s="14">
      <c r="A130" s="17" t="n">
        <v>129</v>
      </c>
      <c r="B130" s="17" t="inlineStr">
        <is>
          <t>Yusak Kustiana</t>
        </is>
      </c>
      <c r="C130" s="18" t="n">
        <v>54231765</v>
      </c>
      <c r="D130" s="17" t="inlineStr">
        <is>
          <t>Indonesia</t>
        </is>
      </c>
      <c r="E130" s="17" t="n">
        <v>19</v>
      </c>
      <c r="F130" s="17" t="inlineStr">
        <is>
          <t>No</t>
        </is>
      </c>
      <c r="G130" s="17" t="inlineStr">
        <is>
          <t>MVP</t>
        </is>
      </c>
      <c r="H130" s="17" t="inlineStr">
        <is>
          <t>PF</t>
        </is>
      </c>
      <c r="I130" s="17" t="n">
        <v>196</v>
      </c>
      <c r="J130" s="17" t="n">
        <v>4</v>
      </c>
      <c r="K130" s="17" t="inlineStr">
        <is>
          <t>No</t>
        </is>
      </c>
      <c r="L130" s="19" t="n">
        <v>45742</v>
      </c>
      <c r="M130" s="20" t="n">
        <v>83600</v>
      </c>
      <c r="N130" s="19" t="n">
        <v>45779</v>
      </c>
      <c r="O130" s="20" t="n">
        <v>204000</v>
      </c>
      <c r="P130" s="20">
        <f>O130-M130</f>
        <v/>
      </c>
      <c r="Q130" s="21">
        <f>IF(M130=0,"",O130/M130)</f>
        <v/>
      </c>
      <c r="R130" s="22">
        <f>N130-L130</f>
        <v/>
      </c>
      <c r="S130" s="23" t="n">
        <v>8025</v>
      </c>
      <c r="T130" s="23" t="n">
        <v>7285</v>
      </c>
      <c r="U130" s="24">
        <f>M130/S130</f>
        <v/>
      </c>
      <c r="V130" s="24">
        <f>O130/S130</f>
        <v/>
      </c>
      <c r="W130" s="23" t="n">
        <v>8782</v>
      </c>
      <c r="X130" s="23" t="n">
        <v>8782</v>
      </c>
      <c r="Y130" s="23" t="n"/>
      <c r="Z130" s="23" t="n">
        <v>10997</v>
      </c>
      <c r="AA130" s="25" t="n">
        <v>73</v>
      </c>
    </row>
    <row r="131" ht="15" customHeight="1" s="14">
      <c r="A131" s="17" t="n">
        <v>130</v>
      </c>
      <c r="B131" s="17" t="inlineStr">
        <is>
          <t>Sevastianos Deves</t>
        </is>
      </c>
      <c r="C131" s="18" t="n">
        <v>53919128</v>
      </c>
      <c r="D131" s="17" t="inlineStr">
        <is>
          <t>Hellas</t>
        </is>
      </c>
      <c r="E131" s="17" t="n">
        <v>19</v>
      </c>
      <c r="F131" s="17" t="inlineStr">
        <is>
          <t>No</t>
        </is>
      </c>
      <c r="G131" s="17" t="inlineStr">
        <is>
          <t>MVP</t>
        </is>
      </c>
      <c r="H131" s="17" t="inlineStr">
        <is>
          <t>PG</t>
        </is>
      </c>
      <c r="I131" s="17" t="n">
        <v>190</v>
      </c>
      <c r="J131" s="17" t="n">
        <v>11</v>
      </c>
      <c r="K131" s="17" t="inlineStr">
        <is>
          <t>No</t>
        </is>
      </c>
      <c r="L131" s="19" t="n">
        <v>45745</v>
      </c>
      <c r="M131" s="20" t="n">
        <v>100000</v>
      </c>
      <c r="N131" s="19" t="n">
        <v>45778</v>
      </c>
      <c r="O131" s="20" t="n">
        <v>220000</v>
      </c>
      <c r="P131" s="20">
        <f>O131-M131</f>
        <v/>
      </c>
      <c r="Q131" s="21">
        <f>IF(M131=0,"",O131/M131)</f>
        <v/>
      </c>
      <c r="R131" s="22">
        <f>N131-L131</f>
        <v/>
      </c>
      <c r="S131" s="23" t="n">
        <v>5136</v>
      </c>
      <c r="T131" s="23" t="n">
        <v>10543</v>
      </c>
      <c r="U131" s="24">
        <f>M131/S131</f>
        <v/>
      </c>
      <c r="V131" s="24">
        <f>O131/S131</f>
        <v/>
      </c>
      <c r="W131" s="23" t="n">
        <v>12672</v>
      </c>
      <c r="X131" s="23" t="n">
        <v>15712</v>
      </c>
      <c r="Y131" s="23" t="n"/>
      <c r="Z131" s="23" t="n">
        <v>16186</v>
      </c>
      <c r="AA131" s="25" t="n">
        <v>73</v>
      </c>
    </row>
    <row r="132" ht="15" customHeight="1" s="14">
      <c r="A132" s="17" t="n">
        <v>131</v>
      </c>
      <c r="B132" s="17" t="inlineStr">
        <is>
          <t>Tang Wang Ching</t>
        </is>
      </c>
      <c r="C132" s="18" t="n">
        <v>54003570</v>
      </c>
      <c r="D132" s="17" t="inlineStr">
        <is>
          <t>China</t>
        </is>
      </c>
      <c r="E132" s="17" t="n">
        <v>19</v>
      </c>
      <c r="F132" s="17" t="inlineStr">
        <is>
          <t>Yes (from draft season)</t>
        </is>
      </c>
      <c r="G132" s="17" t="inlineStr">
        <is>
          <t>MVP</t>
        </is>
      </c>
      <c r="H132" s="17" t="inlineStr">
        <is>
          <t>SF</t>
        </is>
      </c>
      <c r="I132" s="17" t="n">
        <v>203</v>
      </c>
      <c r="J132" s="17" t="n">
        <v>11</v>
      </c>
      <c r="K132" s="17" t="inlineStr">
        <is>
          <t>No</t>
        </is>
      </c>
      <c r="L132" s="19" t="n">
        <v>45844</v>
      </c>
      <c r="M132" s="20" t="n">
        <v>26000</v>
      </c>
      <c r="N132" s="19" t="n">
        <v>45919</v>
      </c>
      <c r="O132" s="20" t="n">
        <v>65000</v>
      </c>
      <c r="P132" s="20">
        <f>O132-M132</f>
        <v/>
      </c>
      <c r="Q132" s="21">
        <f>IF(M132=0,"",O132/M132)</f>
        <v/>
      </c>
      <c r="R132" s="22">
        <f>N132-L132</f>
        <v/>
      </c>
      <c r="S132" s="23" t="n">
        <v>4301</v>
      </c>
      <c r="T132" s="23" t="n">
        <v>5541</v>
      </c>
      <c r="U132" s="24">
        <f>M132/S132</f>
        <v/>
      </c>
      <c r="V132" s="24">
        <f>O132/S132</f>
        <v/>
      </c>
      <c r="W132" s="23" t="n"/>
      <c r="X132" s="23" t="n"/>
      <c r="Y132" s="23" t="n"/>
      <c r="Z132" s="23" t="n">
        <v>5565</v>
      </c>
      <c r="AA132" s="25" t="n">
        <v>70</v>
      </c>
    </row>
    <row r="133" ht="15" customHeight="1" s="14">
      <c r="A133" s="17" t="n">
        <v>132</v>
      </c>
      <c r="B133" s="17" t="inlineStr">
        <is>
          <t>Sélim Belahnichi</t>
        </is>
      </c>
      <c r="C133" s="18" t="n">
        <v>55581006</v>
      </c>
      <c r="D133" s="17" t="inlineStr">
        <is>
          <t>France</t>
        </is>
      </c>
      <c r="E133" s="17" t="n">
        <v>19</v>
      </c>
      <c r="F133" s="17" t="inlineStr">
        <is>
          <t>No</t>
        </is>
      </c>
      <c r="G133" s="17" t="inlineStr">
        <is>
          <t>MVP</t>
        </is>
      </c>
      <c r="H133" s="17" t="inlineStr">
        <is>
          <t>PF</t>
        </is>
      </c>
      <c r="I133" s="17" t="n">
        <v>203</v>
      </c>
      <c r="J133" s="17" t="n">
        <v>28</v>
      </c>
      <c r="K133" s="17" t="inlineStr">
        <is>
          <t>Yes</t>
        </is>
      </c>
      <c r="L133" s="19" t="n">
        <v>46146</v>
      </c>
      <c r="M133" s="20" t="n">
        <v>5000</v>
      </c>
      <c r="N133" s="19" t="n">
        <v>46189</v>
      </c>
      <c r="O133" s="20" t="n">
        <v>8000</v>
      </c>
      <c r="P133" s="20">
        <f>O133-M133</f>
        <v/>
      </c>
      <c r="Q133" s="21">
        <f>IF(M133=0,"",O133/M133)</f>
        <v/>
      </c>
      <c r="R133" s="22">
        <f>N133-L133</f>
        <v/>
      </c>
      <c r="S133" s="23" t="n">
        <v>4583</v>
      </c>
      <c r="T133" s="23" t="n">
        <v>4583</v>
      </c>
      <c r="U133" s="24">
        <f>M133/S133</f>
        <v/>
      </c>
      <c r="V133" s="24">
        <f>O133/S133</f>
        <v/>
      </c>
      <c r="W133" s="23" t="n"/>
      <c r="X133" s="23" t="n"/>
      <c r="Y133" s="23" t="n"/>
      <c r="Z133" s="23" t="n">
        <v>5481</v>
      </c>
      <c r="AA133" s="25" t="n">
        <v>73</v>
      </c>
    </row>
    <row r="134" ht="15" customHeight="1" s="14">
      <c r="A134" s="17" t="n">
        <v>133</v>
      </c>
      <c r="B134" s="17" t="inlineStr">
        <is>
          <t>Georgiy Khitsko</t>
        </is>
      </c>
      <c r="C134" s="18" t="n">
        <v>55640624</v>
      </c>
      <c r="D134" s="17" t="inlineStr">
        <is>
          <t>Ukraina</t>
        </is>
      </c>
      <c r="E134" s="17" t="n">
        <v>19</v>
      </c>
      <c r="F134" s="17" t="inlineStr">
        <is>
          <t>No</t>
        </is>
      </c>
      <c r="G134" s="17" t="inlineStr">
        <is>
          <t>hall of famer</t>
        </is>
      </c>
      <c r="H134" s="17" t="inlineStr">
        <is>
          <t>PG</t>
        </is>
      </c>
      <c r="I134" s="17" t="n">
        <v>188</v>
      </c>
      <c r="J134" s="17" t="n">
        <v>1</v>
      </c>
      <c r="K134" s="17" t="inlineStr">
        <is>
          <t>Yes</t>
        </is>
      </c>
      <c r="L134" s="19" t="n">
        <v>46146</v>
      </c>
      <c r="M134" s="20" t="n">
        <v>6000</v>
      </c>
      <c r="N134" s="19" t="n">
        <v>46182</v>
      </c>
      <c r="O134" s="20" t="n">
        <v>51700</v>
      </c>
      <c r="P134" s="20">
        <f>O134-M134</f>
        <v/>
      </c>
      <c r="Q134" s="21">
        <f>IF(M134=0,"",O134/M134)</f>
        <v/>
      </c>
      <c r="R134" s="22">
        <f>N134-L134</f>
        <v/>
      </c>
      <c r="S134" s="23" t="n">
        <v>4643</v>
      </c>
      <c r="T134" s="23" t="n">
        <v>4643</v>
      </c>
      <c r="U134" s="24">
        <f>M134/S134</f>
        <v/>
      </c>
      <c r="V134" s="24">
        <f>O134/S134</f>
        <v/>
      </c>
      <c r="W134" s="23" t="n"/>
      <c r="X134" s="23" t="n"/>
      <c r="Y134" s="23" t="n"/>
      <c r="Z134" s="23" t="n">
        <v>4643</v>
      </c>
      <c r="AA134" s="25" t="n">
        <v>73</v>
      </c>
    </row>
    <row r="135" ht="15" customHeight="1" s="14">
      <c r="A135" s="17" t="n">
        <v>134</v>
      </c>
      <c r="B135" s="17" t="inlineStr">
        <is>
          <t>Jaime Iruleta</t>
        </is>
      </c>
      <c r="C135" s="18" t="n">
        <v>55720898</v>
      </c>
      <c r="D135" s="17" t="inlineStr">
        <is>
          <t>Puerto Rico</t>
        </is>
      </c>
      <c r="E135" s="17" t="n">
        <v>19</v>
      </c>
      <c r="F135" s="17" t="inlineStr">
        <is>
          <t>No</t>
        </is>
      </c>
      <c r="G135" s="17" t="inlineStr">
        <is>
          <t>MVP</t>
        </is>
      </c>
      <c r="H135" s="17" t="inlineStr">
        <is>
          <t>SG</t>
        </is>
      </c>
      <c r="I135" s="17" t="n">
        <v>183</v>
      </c>
      <c r="J135" s="17" t="n">
        <v>10</v>
      </c>
      <c r="K135" s="17" t="inlineStr">
        <is>
          <t>Yes</t>
        </is>
      </c>
      <c r="L135" s="19" t="n">
        <v>46149</v>
      </c>
      <c r="M135" s="20" t="n">
        <v>91800</v>
      </c>
      <c r="N135" s="19" t="n">
        <v>46203</v>
      </c>
      <c r="O135" s="20" t="n">
        <v>175000</v>
      </c>
      <c r="P135" s="20">
        <f>O135-M135</f>
        <v/>
      </c>
      <c r="Q135" s="21">
        <f>IF(M135=0,"",O135/M135)</f>
        <v/>
      </c>
      <c r="R135" s="22">
        <f>N135-L135</f>
        <v/>
      </c>
      <c r="S135" s="23" t="n">
        <v>7127</v>
      </c>
      <c r="T135" s="23" t="n">
        <v>7127</v>
      </c>
      <c r="U135" s="24">
        <f>M135/S135</f>
        <v/>
      </c>
      <c r="V135" s="24">
        <f>O135/S135</f>
        <v/>
      </c>
      <c r="W135" s="23" t="n"/>
      <c r="X135" s="23" t="n"/>
      <c r="Y135" s="23" t="n"/>
      <c r="Z135" s="23" t="n">
        <v>7141</v>
      </c>
      <c r="AA135" s="25" t="n">
        <v>73</v>
      </c>
    </row>
    <row r="136"/>
    <row r="137" ht="15" customHeight="1" s="14">
      <c r="A137" s="26" t="inlineStr">
        <is>
          <t>Notes</t>
        </is>
      </c>
    </row>
    <row r="138" ht="15" customHeight="1" s="14">
      <c r="A138" s="27" t="inlineStr">
        <is>
          <t>Source: Młoty Stargard transfer history (buzzerbeater.com/team/162788/transferhistory.aspx) and each player's history/overview page, read 2026-09-24.</t>
        </is>
      </c>
    </row>
    <row r="139" ht="15" customHeight="1" s="14">
      <c r="A139" s="27" t="inlineStr">
        <is>
          <t>Selection: players aged 19 or under when bought, bought 2017 or later, later sold by Młoty for more than they paid (134 players).</t>
        </is>
      </c>
    </row>
    <row r="140" ht="15" customHeight="1" s="14">
      <c r="A140" s="27" t="inlineStr">
        <is>
          <t>Estimated ages = 17 + (season bought − draft season); checked against 22 active players, exact or 1 year low.</t>
        </is>
      </c>
    </row>
    <row r="141" ht="15" customHeight="1" s="14">
      <c r="A141" s="27" t="inlineStr">
        <is>
          <t>Potential and nationality are as shown on the player page today (potential does not change).</t>
        </is>
      </c>
    </row>
    <row r="142">
      <c r="A142" s="13" t="inlineStr">
        <is>
          <t>Salary columns: weekly salary from each player's Salary History, matched to seasons by the official season dates; 'at 22/24/26' uses age when bought + seasons elapsed.</t>
        </is>
      </c>
    </row>
  </sheetData>
  <autoFilter ref="A1:AA135"/>
  <hyperlinks>
    <hyperlink xmlns:r="http://schemas.openxmlformats.org/officeDocument/2006/relationships" ref="C2" display="https://buzzerbeater.com/player/41691320/overview.aspx" r:id="rId1"/>
    <hyperlink xmlns:r="http://schemas.openxmlformats.org/officeDocument/2006/relationships" ref="C3" display="https://buzzerbeater.com/player/42106233/overview.aspx" r:id="rId2"/>
    <hyperlink xmlns:r="http://schemas.openxmlformats.org/officeDocument/2006/relationships" ref="C4" display="https://buzzerbeater.com/player/41385714/overview.aspx" r:id="rId3"/>
    <hyperlink xmlns:r="http://schemas.openxmlformats.org/officeDocument/2006/relationships" ref="C5" display="https://buzzerbeater.com/player/42281787/overview.aspx" r:id="rId4"/>
    <hyperlink xmlns:r="http://schemas.openxmlformats.org/officeDocument/2006/relationships" ref="C6" display="https://buzzerbeater.com/player/41862455/overview.aspx" r:id="rId5"/>
    <hyperlink xmlns:r="http://schemas.openxmlformats.org/officeDocument/2006/relationships" ref="C7" display="https://buzzerbeater.com/player/41704433/overview.aspx" r:id="rId6"/>
    <hyperlink xmlns:r="http://schemas.openxmlformats.org/officeDocument/2006/relationships" ref="C8" display="https://buzzerbeater.com/player/42352280/overview.aspx" r:id="rId7"/>
    <hyperlink xmlns:r="http://schemas.openxmlformats.org/officeDocument/2006/relationships" ref="C9" display="https://buzzerbeater.com/player/42604416/overview.aspx" r:id="rId8"/>
    <hyperlink xmlns:r="http://schemas.openxmlformats.org/officeDocument/2006/relationships" ref="C10" display="https://buzzerbeater.com/player/42601397/overview.aspx" r:id="rId9"/>
    <hyperlink xmlns:r="http://schemas.openxmlformats.org/officeDocument/2006/relationships" ref="C11" display="https://buzzerbeater.com/player/42725108/overview.aspx" r:id="rId10"/>
    <hyperlink xmlns:r="http://schemas.openxmlformats.org/officeDocument/2006/relationships" ref="C12" display="https://buzzerbeater.com/player/43007337/overview.aspx" r:id="rId11"/>
    <hyperlink xmlns:r="http://schemas.openxmlformats.org/officeDocument/2006/relationships" ref="C13" display="https://buzzerbeater.com/player/42443844/overview.aspx" r:id="rId12"/>
    <hyperlink xmlns:r="http://schemas.openxmlformats.org/officeDocument/2006/relationships" ref="C14" display="https://buzzerbeater.com/player/42943544/overview.aspx" r:id="rId13"/>
    <hyperlink xmlns:r="http://schemas.openxmlformats.org/officeDocument/2006/relationships" ref="C15" display="https://buzzerbeater.com/player/43517742/overview.aspx" r:id="rId14"/>
    <hyperlink xmlns:r="http://schemas.openxmlformats.org/officeDocument/2006/relationships" ref="C16" display="https://buzzerbeater.com/player/43143179/overview.aspx" r:id="rId15"/>
    <hyperlink xmlns:r="http://schemas.openxmlformats.org/officeDocument/2006/relationships" ref="C17" display="https://buzzerbeater.com/player/43866699/overview.aspx" r:id="rId16"/>
    <hyperlink xmlns:r="http://schemas.openxmlformats.org/officeDocument/2006/relationships" ref="C18" display="https://buzzerbeater.com/player/43437279/overview.aspx" r:id="rId17"/>
    <hyperlink xmlns:r="http://schemas.openxmlformats.org/officeDocument/2006/relationships" ref="C19" display="https://buzzerbeater.com/player/43840973/overview.aspx" r:id="rId18"/>
    <hyperlink xmlns:r="http://schemas.openxmlformats.org/officeDocument/2006/relationships" ref="C20" display="https://buzzerbeater.com/player/43200221/overview.aspx" r:id="rId19"/>
    <hyperlink xmlns:r="http://schemas.openxmlformats.org/officeDocument/2006/relationships" ref="C21" display="https://buzzerbeater.com/player/43437820/overview.aspx" r:id="rId20"/>
    <hyperlink xmlns:r="http://schemas.openxmlformats.org/officeDocument/2006/relationships" ref="C22" display="https://buzzerbeater.com/player/43733059/overview.aspx" r:id="rId21"/>
    <hyperlink xmlns:r="http://schemas.openxmlformats.org/officeDocument/2006/relationships" ref="C23" display="https://buzzerbeater.com/player/44059881/overview.aspx" r:id="rId22"/>
    <hyperlink xmlns:r="http://schemas.openxmlformats.org/officeDocument/2006/relationships" ref="C24" display="https://buzzerbeater.com/player/44147373/overview.aspx" r:id="rId23"/>
    <hyperlink xmlns:r="http://schemas.openxmlformats.org/officeDocument/2006/relationships" ref="C25" display="https://buzzerbeater.com/player/44229075/overview.aspx" r:id="rId24"/>
    <hyperlink xmlns:r="http://schemas.openxmlformats.org/officeDocument/2006/relationships" ref="C26" display="https://buzzerbeater.com/player/44633410/overview.aspx" r:id="rId25"/>
    <hyperlink xmlns:r="http://schemas.openxmlformats.org/officeDocument/2006/relationships" ref="C27" display="https://buzzerbeater.com/player/44226559/overview.aspx" r:id="rId26"/>
    <hyperlink xmlns:r="http://schemas.openxmlformats.org/officeDocument/2006/relationships" ref="C28" display="https://buzzerbeater.com/player/44150432/overview.aspx" r:id="rId27"/>
    <hyperlink xmlns:r="http://schemas.openxmlformats.org/officeDocument/2006/relationships" ref="C29" display="https://buzzerbeater.com/player/44309144/overview.aspx" r:id="rId28"/>
    <hyperlink xmlns:r="http://schemas.openxmlformats.org/officeDocument/2006/relationships" ref="C30" display="https://buzzerbeater.com/player/44058673/overview.aspx" r:id="rId29"/>
    <hyperlink xmlns:r="http://schemas.openxmlformats.org/officeDocument/2006/relationships" ref="C31" display="https://buzzerbeater.com/player/44100991/overview.aspx" r:id="rId30"/>
    <hyperlink xmlns:r="http://schemas.openxmlformats.org/officeDocument/2006/relationships" ref="C32" display="https://buzzerbeater.com/player/44946064/overview.aspx" r:id="rId31"/>
    <hyperlink xmlns:r="http://schemas.openxmlformats.org/officeDocument/2006/relationships" ref="C33" display="https://buzzerbeater.com/player/44946495/overview.aspx" r:id="rId32"/>
    <hyperlink xmlns:r="http://schemas.openxmlformats.org/officeDocument/2006/relationships" ref="C34" display="https://buzzerbeater.com/player/45324882/overview.aspx" r:id="rId33"/>
    <hyperlink xmlns:r="http://schemas.openxmlformats.org/officeDocument/2006/relationships" ref="C35" display="https://buzzerbeater.com/player/45306844/overview.aspx" r:id="rId34"/>
    <hyperlink xmlns:r="http://schemas.openxmlformats.org/officeDocument/2006/relationships" ref="C36" display="https://buzzerbeater.com/player/45078706/overview.aspx" r:id="rId35"/>
    <hyperlink xmlns:r="http://schemas.openxmlformats.org/officeDocument/2006/relationships" ref="C37" display="https://buzzerbeater.com/player/45232526/overview.aspx" r:id="rId36"/>
    <hyperlink xmlns:r="http://schemas.openxmlformats.org/officeDocument/2006/relationships" ref="C38" display="https://buzzerbeater.com/player/44900658/overview.aspx" r:id="rId37"/>
    <hyperlink xmlns:r="http://schemas.openxmlformats.org/officeDocument/2006/relationships" ref="C39" display="https://buzzerbeater.com/player/45719792/overview.aspx" r:id="rId38"/>
    <hyperlink xmlns:r="http://schemas.openxmlformats.org/officeDocument/2006/relationships" ref="C40" display="https://buzzerbeater.com/player/45887858/overview.aspx" r:id="rId39"/>
    <hyperlink xmlns:r="http://schemas.openxmlformats.org/officeDocument/2006/relationships" ref="C41" display="https://buzzerbeater.com/player/46104453/overview.aspx" r:id="rId40"/>
    <hyperlink xmlns:r="http://schemas.openxmlformats.org/officeDocument/2006/relationships" ref="C42" display="https://buzzerbeater.com/player/46104432/overview.aspx" r:id="rId41"/>
    <hyperlink xmlns:r="http://schemas.openxmlformats.org/officeDocument/2006/relationships" ref="C43" display="https://buzzerbeater.com/player/46237047/overview.aspx" r:id="rId42"/>
    <hyperlink xmlns:r="http://schemas.openxmlformats.org/officeDocument/2006/relationships" ref="C44" display="https://buzzerbeater.com/player/46368878/overview.aspx" r:id="rId43"/>
    <hyperlink xmlns:r="http://schemas.openxmlformats.org/officeDocument/2006/relationships" ref="C45" display="https://buzzerbeater.com/player/46551912/overview.aspx" r:id="rId44"/>
    <hyperlink xmlns:r="http://schemas.openxmlformats.org/officeDocument/2006/relationships" ref="C46" display="https://buzzerbeater.com/player/46509792/overview.aspx" r:id="rId45"/>
    <hyperlink xmlns:r="http://schemas.openxmlformats.org/officeDocument/2006/relationships" ref="C47" display="https://buzzerbeater.com/player/46473548/overview.aspx" r:id="rId46"/>
    <hyperlink xmlns:r="http://schemas.openxmlformats.org/officeDocument/2006/relationships" ref="C48" display="https://buzzerbeater.com/player/46498648/overview.aspx" r:id="rId47"/>
    <hyperlink xmlns:r="http://schemas.openxmlformats.org/officeDocument/2006/relationships" ref="C49" display="https://buzzerbeater.com/player/46498409/overview.aspx" r:id="rId48"/>
    <hyperlink xmlns:r="http://schemas.openxmlformats.org/officeDocument/2006/relationships" ref="C50" display="https://buzzerbeater.com/player/46340566/overview.aspx" r:id="rId49"/>
    <hyperlink xmlns:r="http://schemas.openxmlformats.org/officeDocument/2006/relationships" ref="C51" display="https://buzzerbeater.com/player/46861239/overview.aspx" r:id="rId50"/>
    <hyperlink xmlns:r="http://schemas.openxmlformats.org/officeDocument/2006/relationships" ref="C52" display="https://buzzerbeater.com/player/46864760/overview.aspx" r:id="rId51"/>
    <hyperlink xmlns:r="http://schemas.openxmlformats.org/officeDocument/2006/relationships" ref="C53" display="https://buzzerbeater.com/player/46817617/overview.aspx" r:id="rId52"/>
    <hyperlink xmlns:r="http://schemas.openxmlformats.org/officeDocument/2006/relationships" ref="C54" display="https://buzzerbeater.com/player/46861192/overview.aspx" r:id="rId53"/>
    <hyperlink xmlns:r="http://schemas.openxmlformats.org/officeDocument/2006/relationships" ref="C55" display="https://buzzerbeater.com/player/46785024/overview.aspx" r:id="rId54"/>
    <hyperlink xmlns:r="http://schemas.openxmlformats.org/officeDocument/2006/relationships" ref="C56" display="https://buzzerbeater.com/player/46861491/overview.aspx" r:id="rId55"/>
    <hyperlink xmlns:r="http://schemas.openxmlformats.org/officeDocument/2006/relationships" ref="C57" display="https://buzzerbeater.com/player/47086592/overview.aspx" r:id="rId56"/>
    <hyperlink xmlns:r="http://schemas.openxmlformats.org/officeDocument/2006/relationships" ref="C58" display="https://buzzerbeater.com/player/46984900/overview.aspx" r:id="rId57"/>
    <hyperlink xmlns:r="http://schemas.openxmlformats.org/officeDocument/2006/relationships" ref="C59" display="https://buzzerbeater.com/player/46984823/overview.aspx" r:id="rId58"/>
    <hyperlink xmlns:r="http://schemas.openxmlformats.org/officeDocument/2006/relationships" ref="C60" display="https://buzzerbeater.com/player/47151137/overview.aspx" r:id="rId59"/>
    <hyperlink xmlns:r="http://schemas.openxmlformats.org/officeDocument/2006/relationships" ref="C61" display="https://buzzerbeater.com/player/47478698/overview.aspx" r:id="rId60"/>
    <hyperlink xmlns:r="http://schemas.openxmlformats.org/officeDocument/2006/relationships" ref="C62" display="https://buzzerbeater.com/player/46939723/overview.aspx" r:id="rId61"/>
    <hyperlink xmlns:r="http://schemas.openxmlformats.org/officeDocument/2006/relationships" ref="C63" display="https://buzzerbeater.com/player/47168290/overview.aspx" r:id="rId62"/>
    <hyperlink xmlns:r="http://schemas.openxmlformats.org/officeDocument/2006/relationships" ref="C64" display="https://buzzerbeater.com/player/47268316/overview.aspx" r:id="rId63"/>
    <hyperlink xmlns:r="http://schemas.openxmlformats.org/officeDocument/2006/relationships" ref="C65" display="https://buzzerbeater.com/player/47462539/overview.aspx" r:id="rId64"/>
    <hyperlink xmlns:r="http://schemas.openxmlformats.org/officeDocument/2006/relationships" ref="C66" display="https://buzzerbeater.com/player/47356539/overview.aspx" r:id="rId65"/>
    <hyperlink xmlns:r="http://schemas.openxmlformats.org/officeDocument/2006/relationships" ref="C67" display="https://buzzerbeater.com/player/47307403/overview.aspx" r:id="rId66"/>
    <hyperlink xmlns:r="http://schemas.openxmlformats.org/officeDocument/2006/relationships" ref="C68" display="https://buzzerbeater.com/player/47602470/overview.aspx" r:id="rId67"/>
    <hyperlink xmlns:r="http://schemas.openxmlformats.org/officeDocument/2006/relationships" ref="C69" display="https://buzzerbeater.com/player/47621291/overview.aspx" r:id="rId68"/>
    <hyperlink xmlns:r="http://schemas.openxmlformats.org/officeDocument/2006/relationships" ref="C70" display="https://buzzerbeater.com/player/47324017/overview.aspx" r:id="rId69"/>
    <hyperlink xmlns:r="http://schemas.openxmlformats.org/officeDocument/2006/relationships" ref="C71" display="https://buzzerbeater.com/player/47583027/overview.aspx" r:id="rId70"/>
    <hyperlink xmlns:r="http://schemas.openxmlformats.org/officeDocument/2006/relationships" ref="C72" display="https://buzzerbeater.com/player/47766552/overview.aspx" r:id="rId71"/>
    <hyperlink xmlns:r="http://schemas.openxmlformats.org/officeDocument/2006/relationships" ref="C73" display="https://buzzerbeater.com/player/47601029/overview.aspx" r:id="rId72"/>
    <hyperlink xmlns:r="http://schemas.openxmlformats.org/officeDocument/2006/relationships" ref="C74" display="https://buzzerbeater.com/player/47838583/overview.aspx" r:id="rId73"/>
    <hyperlink xmlns:r="http://schemas.openxmlformats.org/officeDocument/2006/relationships" ref="C75" display="https://buzzerbeater.com/player/47746017/overview.aspx" r:id="rId74"/>
    <hyperlink xmlns:r="http://schemas.openxmlformats.org/officeDocument/2006/relationships" ref="C76" display="https://buzzerbeater.com/player/47982986/overview.aspx" r:id="rId75"/>
    <hyperlink xmlns:r="http://schemas.openxmlformats.org/officeDocument/2006/relationships" ref="C77" display="https://buzzerbeater.com/player/48192833/overview.aspx" r:id="rId76"/>
    <hyperlink xmlns:r="http://schemas.openxmlformats.org/officeDocument/2006/relationships" ref="C78" display="https://buzzerbeater.com/player/48196453/overview.aspx" r:id="rId77"/>
    <hyperlink xmlns:r="http://schemas.openxmlformats.org/officeDocument/2006/relationships" ref="C79" display="https://buzzerbeater.com/player/48402258/overview.aspx" r:id="rId78"/>
    <hyperlink xmlns:r="http://schemas.openxmlformats.org/officeDocument/2006/relationships" ref="C80" display="https://buzzerbeater.com/player/47906107/overview.aspx" r:id="rId79"/>
    <hyperlink xmlns:r="http://schemas.openxmlformats.org/officeDocument/2006/relationships" ref="C81" display="https://buzzerbeater.com/player/48290910/overview.aspx" r:id="rId80"/>
    <hyperlink xmlns:r="http://schemas.openxmlformats.org/officeDocument/2006/relationships" ref="C82" display="https://buzzerbeater.com/player/48092898/overview.aspx" r:id="rId81"/>
    <hyperlink xmlns:r="http://schemas.openxmlformats.org/officeDocument/2006/relationships" ref="C83" display="https://buzzerbeater.com/player/48046708/overview.aspx" r:id="rId82"/>
    <hyperlink xmlns:r="http://schemas.openxmlformats.org/officeDocument/2006/relationships" ref="C84" display="https://buzzerbeater.com/player/48483679/overview.aspx" r:id="rId83"/>
    <hyperlink xmlns:r="http://schemas.openxmlformats.org/officeDocument/2006/relationships" ref="C85" display="https://buzzerbeater.com/player/48538719/overview.aspx" r:id="rId84"/>
    <hyperlink xmlns:r="http://schemas.openxmlformats.org/officeDocument/2006/relationships" ref="C86" display="https://buzzerbeater.com/player/48681700/overview.aspx" r:id="rId85"/>
    <hyperlink xmlns:r="http://schemas.openxmlformats.org/officeDocument/2006/relationships" ref="C87" display="https://buzzerbeater.com/player/48402838/overview.aspx" r:id="rId86"/>
    <hyperlink xmlns:r="http://schemas.openxmlformats.org/officeDocument/2006/relationships" ref="C88" display="https://buzzerbeater.com/player/48724116/overview.aspx" r:id="rId87"/>
    <hyperlink xmlns:r="http://schemas.openxmlformats.org/officeDocument/2006/relationships" ref="C89" display="https://buzzerbeater.com/player/48495807/overview.aspx" r:id="rId88"/>
    <hyperlink xmlns:r="http://schemas.openxmlformats.org/officeDocument/2006/relationships" ref="C90" display="https://buzzerbeater.com/player/48705165/overview.aspx" r:id="rId89"/>
    <hyperlink xmlns:r="http://schemas.openxmlformats.org/officeDocument/2006/relationships" ref="C91" display="https://buzzerbeater.com/player/48644609/overview.aspx" r:id="rId90"/>
    <hyperlink xmlns:r="http://schemas.openxmlformats.org/officeDocument/2006/relationships" ref="C92" display="https://buzzerbeater.com/player/48996713/overview.aspx" r:id="rId91"/>
    <hyperlink xmlns:r="http://schemas.openxmlformats.org/officeDocument/2006/relationships" ref="C93" display="https://buzzerbeater.com/player/48661025/overview.aspx" r:id="rId92"/>
    <hyperlink xmlns:r="http://schemas.openxmlformats.org/officeDocument/2006/relationships" ref="C94" display="https://buzzerbeater.com/player/49022798/overview.aspx" r:id="rId93"/>
    <hyperlink xmlns:r="http://schemas.openxmlformats.org/officeDocument/2006/relationships" ref="C95" display="https://buzzerbeater.com/player/49393626/overview.aspx" r:id="rId94"/>
    <hyperlink xmlns:r="http://schemas.openxmlformats.org/officeDocument/2006/relationships" ref="C96" display="https://buzzerbeater.com/player/49277832/overview.aspx" r:id="rId95"/>
    <hyperlink xmlns:r="http://schemas.openxmlformats.org/officeDocument/2006/relationships" ref="C97" display="https://buzzerbeater.com/player/48980316/overview.aspx" r:id="rId96"/>
    <hyperlink xmlns:r="http://schemas.openxmlformats.org/officeDocument/2006/relationships" ref="C98" display="https://buzzerbeater.com/player/48931053/overview.aspx" r:id="rId97"/>
    <hyperlink xmlns:r="http://schemas.openxmlformats.org/officeDocument/2006/relationships" ref="C99" display="https://buzzerbeater.com/player/49575590/overview.aspx" r:id="rId98"/>
    <hyperlink xmlns:r="http://schemas.openxmlformats.org/officeDocument/2006/relationships" ref="C100" display="https://buzzerbeater.com/player/49181507/overview.aspx" r:id="rId99"/>
    <hyperlink xmlns:r="http://schemas.openxmlformats.org/officeDocument/2006/relationships" ref="C101" display="https://buzzerbeater.com/player/49131562/overview.aspx" r:id="rId100"/>
    <hyperlink xmlns:r="http://schemas.openxmlformats.org/officeDocument/2006/relationships" ref="C102" display="https://buzzerbeater.com/player/49390085/overview.aspx" r:id="rId101"/>
    <hyperlink xmlns:r="http://schemas.openxmlformats.org/officeDocument/2006/relationships" ref="C103" display="https://buzzerbeater.com/player/49387594/overview.aspx" r:id="rId102"/>
    <hyperlink xmlns:r="http://schemas.openxmlformats.org/officeDocument/2006/relationships" ref="C104" display="https://buzzerbeater.com/player/49632952/overview.aspx" r:id="rId103"/>
    <hyperlink xmlns:r="http://schemas.openxmlformats.org/officeDocument/2006/relationships" ref="C105" display="https://buzzerbeater.com/player/49554195/overview.aspx" r:id="rId104"/>
    <hyperlink xmlns:r="http://schemas.openxmlformats.org/officeDocument/2006/relationships" ref="C106" display="https://buzzerbeater.com/player/49578194/overview.aspx" r:id="rId105"/>
    <hyperlink xmlns:r="http://schemas.openxmlformats.org/officeDocument/2006/relationships" ref="C107" display="https://buzzerbeater.com/player/49575965/overview.aspx" r:id="rId106"/>
    <hyperlink xmlns:r="http://schemas.openxmlformats.org/officeDocument/2006/relationships" ref="C108" display="https://buzzerbeater.com/player/50366638/overview.aspx" r:id="rId107"/>
    <hyperlink xmlns:r="http://schemas.openxmlformats.org/officeDocument/2006/relationships" ref="C109" display="https://buzzerbeater.com/player/50528014/overview.aspx" r:id="rId108"/>
    <hyperlink xmlns:r="http://schemas.openxmlformats.org/officeDocument/2006/relationships" ref="C110" display="https://buzzerbeater.com/player/50459992/overview.aspx" r:id="rId109"/>
    <hyperlink xmlns:r="http://schemas.openxmlformats.org/officeDocument/2006/relationships" ref="C111" display="https://buzzerbeater.com/player/49744055/overview.aspx" r:id="rId110"/>
    <hyperlink xmlns:r="http://schemas.openxmlformats.org/officeDocument/2006/relationships" ref="C112" display="https://buzzerbeater.com/player/49983009/overview.aspx" r:id="rId111"/>
    <hyperlink xmlns:r="http://schemas.openxmlformats.org/officeDocument/2006/relationships" ref="C113" display="https://buzzerbeater.com/player/50683632/overview.aspx" r:id="rId112"/>
    <hyperlink xmlns:r="http://schemas.openxmlformats.org/officeDocument/2006/relationships" ref="C114" display="https://buzzerbeater.com/player/50314859/overview.aspx" r:id="rId113"/>
    <hyperlink xmlns:r="http://schemas.openxmlformats.org/officeDocument/2006/relationships" ref="C115" display="https://buzzerbeater.com/player/50566300/overview.aspx" r:id="rId114"/>
    <hyperlink xmlns:r="http://schemas.openxmlformats.org/officeDocument/2006/relationships" ref="C116" display="https://buzzerbeater.com/player/50705727/overview.aspx" r:id="rId115"/>
    <hyperlink xmlns:r="http://schemas.openxmlformats.org/officeDocument/2006/relationships" ref="C117" display="https://buzzerbeater.com/player/50511506/overview.aspx" r:id="rId116"/>
    <hyperlink xmlns:r="http://schemas.openxmlformats.org/officeDocument/2006/relationships" ref="C118" display="https://buzzerbeater.com/player/51402902/overview.aspx" r:id="rId117"/>
    <hyperlink xmlns:r="http://schemas.openxmlformats.org/officeDocument/2006/relationships" ref="C119" display="https://buzzerbeater.com/player/51528877/overview.aspx" r:id="rId118"/>
    <hyperlink xmlns:r="http://schemas.openxmlformats.org/officeDocument/2006/relationships" ref="C120" display="https://buzzerbeater.com/player/51510265/overview.aspx" r:id="rId119"/>
    <hyperlink xmlns:r="http://schemas.openxmlformats.org/officeDocument/2006/relationships" ref="C121" display="https://buzzerbeater.com/player/51210062/overview.aspx" r:id="rId120"/>
    <hyperlink xmlns:r="http://schemas.openxmlformats.org/officeDocument/2006/relationships" ref="C122" display="https://buzzerbeater.com/player/51528356/overview.aspx" r:id="rId121"/>
    <hyperlink xmlns:r="http://schemas.openxmlformats.org/officeDocument/2006/relationships" ref="C123" display="https://buzzerbeater.com/player/52171297/overview.aspx" r:id="rId122"/>
    <hyperlink xmlns:r="http://schemas.openxmlformats.org/officeDocument/2006/relationships" ref="C124" display="https://buzzerbeater.com/player/51660903/overview.aspx" r:id="rId123"/>
    <hyperlink xmlns:r="http://schemas.openxmlformats.org/officeDocument/2006/relationships" ref="C125" display="https://buzzerbeater.com/player/52592706/overview.aspx" r:id="rId124"/>
    <hyperlink xmlns:r="http://schemas.openxmlformats.org/officeDocument/2006/relationships" ref="C126" display="https://buzzerbeater.com/player/52438974/overview.aspx" r:id="rId125"/>
    <hyperlink xmlns:r="http://schemas.openxmlformats.org/officeDocument/2006/relationships" ref="C127" display="https://buzzerbeater.com/player/52498212/overview.aspx" r:id="rId126"/>
    <hyperlink xmlns:r="http://schemas.openxmlformats.org/officeDocument/2006/relationships" ref="C128" display="https://buzzerbeater.com/player/52333269/overview.aspx" r:id="rId127"/>
    <hyperlink xmlns:r="http://schemas.openxmlformats.org/officeDocument/2006/relationships" ref="C129" display="https://buzzerbeater.com/player/53693413/overview.aspx" r:id="rId128"/>
    <hyperlink xmlns:r="http://schemas.openxmlformats.org/officeDocument/2006/relationships" ref="C130" display="https://buzzerbeater.com/player/54231765/overview.aspx" r:id="rId129"/>
    <hyperlink xmlns:r="http://schemas.openxmlformats.org/officeDocument/2006/relationships" ref="C131" display="https://buzzerbeater.com/player/53919128/overview.aspx" r:id="rId130"/>
    <hyperlink xmlns:r="http://schemas.openxmlformats.org/officeDocument/2006/relationships" ref="C132" display="https://buzzerbeater.com/player/54003570/overview.aspx" r:id="rId131"/>
    <hyperlink xmlns:r="http://schemas.openxmlformats.org/officeDocument/2006/relationships" ref="C133" display="https://buzzerbeater.com/player/55581006/overview.aspx" r:id="rId132"/>
    <hyperlink xmlns:r="http://schemas.openxmlformats.org/officeDocument/2006/relationships" ref="C134" display="https://buzzerbeater.com/player/55640624/overview.aspx" r:id="rId133"/>
    <hyperlink xmlns:r="http://schemas.openxmlformats.org/officeDocument/2006/relationships" ref="C135" display="https://buzzerbeater.com/player/55720898/overview.aspx" r:id="rId13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3" min="1" max="1"/>
    <col width="16" customWidth="1" style="13" min="2" max="4"/>
    <col width="48" customWidth="1" style="14" min="6" max="6"/>
    <col width="12" customWidth="1" style="14" min="7" max="7"/>
  </cols>
  <sheetData>
    <row r="1" ht="16.15" customHeight="1" s="14">
      <c r="A1" s="28" t="inlineStr">
        <is>
          <t>Młoty Stargard – teenage flips since 2017</t>
        </is>
      </c>
      <c r="F1" s="29" t="inlineStr">
        <is>
          <t>Salary vs price</t>
        </is>
      </c>
      <c r="G1" s="30" t="n"/>
    </row>
    <row r="2">
      <c r="F2" s="25" t="n"/>
      <c r="G2" s="30" t="n"/>
    </row>
    <row r="3" ht="15" customHeight="1" s="14">
      <c r="A3" s="17" t="inlineStr">
        <is>
          <t>Players flipped</t>
        </is>
      </c>
      <c r="B3" s="22">
        <f>COUNTA(Flips!B2:B135)</f>
        <v/>
      </c>
      <c r="F3" s="25" t="inlineStr">
        <is>
          <t>Median salary in season bought ($/wk)</t>
        </is>
      </c>
      <c r="G3" s="30">
        <f>MEDIAN(Flips!$S$2:$S$135)</f>
        <v/>
      </c>
    </row>
    <row r="4" ht="15" customHeight="1" s="14">
      <c r="A4" s="17" t="inlineStr">
        <is>
          <t>Total spent ($)</t>
        </is>
      </c>
      <c r="B4" s="31">
        <f>SUM(Flips!M2:M135)</f>
        <v/>
      </c>
      <c r="F4" s="25" t="inlineStr">
        <is>
          <t>Players whose salary changed during the hold</t>
        </is>
      </c>
      <c r="G4" s="30">
        <f>SUMPRODUCT(--(Flips!$S$2:$S$135&lt;&gt;Flips!$T$2:$T$135))</f>
        <v/>
      </c>
    </row>
    <row r="5" ht="15" customHeight="1" s="14">
      <c r="A5" s="17" t="inlineStr">
        <is>
          <t>Total received ($)</t>
        </is>
      </c>
      <c r="B5" s="31">
        <f>SUM(Flips!O2:O135)</f>
        <v/>
      </c>
      <c r="F5" s="25" t="inlineStr">
        <is>
          <t>Median buy ÷ salary</t>
        </is>
      </c>
      <c r="G5" s="32">
        <f>MEDIAN(Flips!$U$2:$U$135)</f>
        <v/>
      </c>
    </row>
    <row r="6" ht="15" customHeight="1" s="14">
      <c r="A6" s="17" t="inlineStr">
        <is>
          <t>Total profit ($)</t>
        </is>
      </c>
      <c r="B6" s="31">
        <f>SUM(Flips!P2:P135)</f>
        <v/>
      </c>
      <c r="F6" s="25" t="inlineStr">
        <is>
          <t>Median sale ÷ salary</t>
        </is>
      </c>
      <c r="G6" s="32">
        <f>MEDIAN(Flips!$V$2:$V$135)</f>
        <v/>
      </c>
    </row>
    <row r="7" ht="15" customHeight="1" s="14">
      <c r="A7" s="17" t="inlineStr">
        <is>
          <t>Median buy price ($)</t>
        </is>
      </c>
      <c r="B7" s="31">
        <f>MEDIAN(Flips!M2:M135)</f>
        <v/>
      </c>
      <c r="F7" s="25" t="inlineStr">
        <is>
          <t>Median highest salary, bought 2020 or earlier ($/wk)</t>
        </is>
      </c>
      <c r="G7" s="30">
        <f t="array" ref="G7">MEDIAN(IF(YEAR(Flips!$L$2:$L$135)&lt;=2020,Flips!$Z$2:$Z$135))</f>
        <v/>
      </c>
    </row>
    <row r="8" ht="15" customHeight="1" s="14">
      <c r="A8" s="17" t="inlineStr">
        <is>
          <t>Median sale price ($)</t>
        </is>
      </c>
      <c r="B8" s="31">
        <f>MEDIAN(Flips!O2:O135)</f>
        <v/>
      </c>
      <c r="F8" s="25" t="inlineStr">
        <is>
          <t>Players ever reaching $50k/wk</t>
        </is>
      </c>
      <c r="G8" s="30">
        <f>COUNTIF(Flips!$Z$2:$Z$135,"&gt;=50000")</f>
        <v/>
      </c>
    </row>
    <row r="9" ht="15" customHeight="1" s="14">
      <c r="A9" s="17" t="inlineStr">
        <is>
          <t>Median sale ÷ buy</t>
        </is>
      </c>
      <c r="B9" s="21">
        <f>MEDIAN(Flips!Q2:Q135)</f>
        <v/>
      </c>
      <c r="F9" s="25" t="inlineStr">
        <is>
          <t>Players ever reaching $100k/wk</t>
        </is>
      </c>
      <c r="G9" s="30">
        <f>COUNTIF(Flips!$Z$2:$Z$135,"&gt;=100000")</f>
        <v/>
      </c>
    </row>
    <row r="10" ht="15" customHeight="1" s="14">
      <c r="A10" s="17" t="inlineStr">
        <is>
          <t>Median days held</t>
        </is>
      </c>
      <c r="B10" s="22">
        <f>MEDIAN(Flips!R2:R135)</f>
        <v/>
      </c>
    </row>
    <row r="11" ht="15" customHeight="1" s="14">
      <c r="A11" s="17" t="inlineStr">
        <is>
          <t>Bought from drafting team</t>
        </is>
      </c>
      <c r="B11" s="22">
        <f>COUNTIF(Flips!K2:K135,"Yes")</f>
        <v/>
      </c>
    </row>
    <row r="13" ht="15" customHeight="1" s="14">
      <c r="A13" s="26" t="inlineStr">
        <is>
          <t>By potential</t>
        </is>
      </c>
    </row>
    <row r="14" ht="15" customHeight="1" s="14">
      <c r="A14" s="33" t="inlineStr">
        <is>
          <t>Value</t>
        </is>
      </c>
      <c r="B14" s="33" t="inlineStr">
        <is>
          <t>Players</t>
        </is>
      </c>
      <c r="C14" s="33" t="inlineStr">
        <is>
          <t>Median buy ($)</t>
        </is>
      </c>
      <c r="D14" s="33" t="inlineStr">
        <is>
          <t>Median sale ($)</t>
        </is>
      </c>
    </row>
    <row r="15" ht="15" customHeight="1" s="14">
      <c r="A15" s="17" t="inlineStr">
        <is>
          <t>hall of famer</t>
        </is>
      </c>
      <c r="B15" s="17">
        <f>COUNTIF(Flips!$G$2:$G$135,A15)</f>
        <v/>
      </c>
      <c r="C15" s="31">
        <f t="array" ref="C15:C15">MEDIAN(IF(Flips!$G$2:$G$135=A15,Flips!$M$2:$M$135))</f>
        <v/>
      </c>
      <c r="D15" s="31">
        <f t="array" ref="D15:D15">MEDIAN(IF(Flips!$G$2:$G$135=A15,Flips!$O$2:$O$135))</f>
        <v/>
      </c>
    </row>
    <row r="16" ht="15" customHeight="1" s="14">
      <c r="A16" s="17" t="inlineStr">
        <is>
          <t>MVP</t>
        </is>
      </c>
      <c r="B16" s="17">
        <f>COUNTIF(Flips!$G$2:$G$135,A16)</f>
        <v/>
      </c>
      <c r="C16" s="31">
        <f t="array" ref="C16:C16">MEDIAN(IF(Flips!$G$2:$G$135=A16,Flips!$M$2:$M$135))</f>
        <v/>
      </c>
      <c r="D16" s="31">
        <f t="array" ref="D16:D16">MEDIAN(IF(Flips!$G$2:$G$135=A16,Flips!$O$2:$O$135))</f>
        <v/>
      </c>
    </row>
    <row r="17" ht="15" customHeight="1" s="14">
      <c r="A17" s="17" t="inlineStr">
        <is>
          <t>superstar</t>
        </is>
      </c>
      <c r="B17" s="17">
        <f>COUNTIF(Flips!$G$2:$G$135,A17)</f>
        <v/>
      </c>
      <c r="C17" s="31">
        <f t="array" ref="C17:C17">MEDIAN(IF(Flips!$G$2:$G$135=A17,Flips!$M$2:$M$135))</f>
        <v/>
      </c>
      <c r="D17" s="31">
        <f t="array" ref="D17:D17">MEDIAN(IF(Flips!$G$2:$G$135=A17,Flips!$O$2:$O$135))</f>
        <v/>
      </c>
    </row>
    <row r="19" ht="15" customHeight="1" s="14">
      <c r="A19" s="26" t="inlineStr">
        <is>
          <t>By position</t>
        </is>
      </c>
    </row>
    <row r="20" ht="15" customHeight="1" s="14">
      <c r="A20" s="33" t="inlineStr">
        <is>
          <t>Value</t>
        </is>
      </c>
      <c r="B20" s="33" t="inlineStr">
        <is>
          <t>Players</t>
        </is>
      </c>
      <c r="C20" s="33" t="inlineStr">
        <is>
          <t>Median buy ($)</t>
        </is>
      </c>
      <c r="D20" s="33" t="inlineStr">
        <is>
          <t>Median sale ($)</t>
        </is>
      </c>
    </row>
    <row r="21" ht="15" customHeight="1" s="14">
      <c r="A21" s="17" t="inlineStr">
        <is>
          <t>PG</t>
        </is>
      </c>
      <c r="B21" s="17">
        <f>COUNTIF(Flips!$H$2:$H$135,A21)</f>
        <v/>
      </c>
      <c r="C21" s="31">
        <f t="array" ref="C21:C21">MEDIAN(IF(Flips!$H$2:$H$135=A21,Flips!$M$2:$M$135))</f>
        <v/>
      </c>
      <c r="D21" s="31">
        <f t="array" ref="D21:D21">MEDIAN(IF(Flips!$H$2:$H$135=A21,Flips!$O$2:$O$135))</f>
        <v/>
      </c>
    </row>
    <row r="22" ht="15" customHeight="1" s="14">
      <c r="A22" s="17" t="inlineStr">
        <is>
          <t>SF</t>
        </is>
      </c>
      <c r="B22" s="17">
        <f>COUNTIF(Flips!$H$2:$H$135,A22)</f>
        <v/>
      </c>
      <c r="C22" s="31">
        <f t="array" ref="C22:C22">MEDIAN(IF(Flips!$H$2:$H$135=A22,Flips!$M$2:$M$135))</f>
        <v/>
      </c>
      <c r="D22" s="31">
        <f t="array" ref="D22:D22">MEDIAN(IF(Flips!$H$2:$H$135=A22,Flips!$O$2:$O$135))</f>
        <v/>
      </c>
    </row>
    <row r="23" ht="15" customHeight="1" s="14">
      <c r="A23" s="17" t="inlineStr">
        <is>
          <t>PF</t>
        </is>
      </c>
      <c r="B23" s="17">
        <f>COUNTIF(Flips!$H$2:$H$135,A23)</f>
        <v/>
      </c>
      <c r="C23" s="31">
        <f t="array" ref="C23:C23">MEDIAN(IF(Flips!$H$2:$H$135=A23,Flips!$M$2:$M$135))</f>
        <v/>
      </c>
      <c r="D23" s="31">
        <f t="array" ref="D23:D23">MEDIAN(IF(Flips!$H$2:$H$135=A23,Flips!$O$2:$O$135))</f>
        <v/>
      </c>
    </row>
    <row r="24" ht="15" customHeight="1" s="14">
      <c r="A24" s="17" t="inlineStr">
        <is>
          <t>C</t>
        </is>
      </c>
      <c r="B24" s="17">
        <f>COUNTIF(Flips!$H$2:$H$135,A24)</f>
        <v/>
      </c>
      <c r="C24" s="31">
        <f t="array" ref="C24:C24">MEDIAN(IF(Flips!$H$2:$H$135=A24,Flips!$M$2:$M$135))</f>
        <v/>
      </c>
      <c r="D24" s="31">
        <f t="array" ref="D24:D24">MEDIAN(IF(Flips!$H$2:$H$135=A24,Flips!$O$2:$O$135))</f>
        <v/>
      </c>
    </row>
    <row r="25" ht="15" customHeight="1" s="14">
      <c r="A25" s="17" t="inlineStr">
        <is>
          <t>SG</t>
        </is>
      </c>
      <c r="B25" s="17">
        <f>COUNTIF(Flips!$H$2:$H$135,A25)</f>
        <v/>
      </c>
      <c r="C25" s="31">
        <f t="array" ref="C25:C25">MEDIAN(IF(Flips!$H$2:$H$135=A25,Flips!$M$2:$M$135))</f>
        <v/>
      </c>
      <c r="D25" s="31">
        <f t="array" ref="D25:D25">MEDIAN(IF(Flips!$H$2:$H$135=A25,Flips!$O$2:$O$135))</f>
        <v/>
      </c>
    </row>
    <row r="27" ht="15" customHeight="1" s="14">
      <c r="A27" s="26" t="inlineStr">
        <is>
          <t>By nationality</t>
        </is>
      </c>
    </row>
    <row r="28" ht="15" customHeight="1" s="14">
      <c r="A28" s="33" t="inlineStr">
        <is>
          <t>Value</t>
        </is>
      </c>
      <c r="B28" s="33" t="inlineStr">
        <is>
          <t>Players</t>
        </is>
      </c>
      <c r="C28" s="33" t="inlineStr">
        <is>
          <t>Median buy ($)</t>
        </is>
      </c>
      <c r="D28" s="33" t="inlineStr">
        <is>
          <t>Median sale ($)</t>
        </is>
      </c>
    </row>
    <row r="29" ht="15" customHeight="1" s="14">
      <c r="A29" s="17" t="inlineStr">
        <is>
          <t>Utopia</t>
        </is>
      </c>
      <c r="B29" s="17">
        <f>COUNTIF(Flips!$D$2:$D$135,A29)</f>
        <v/>
      </c>
      <c r="C29" s="31">
        <f t="array" ref="C29:C29">MEDIAN(IF(Flips!$D$2:$D$135=A29,Flips!$M$2:$M$135))</f>
        <v/>
      </c>
      <c r="D29" s="31">
        <f t="array" ref="D29:D29">MEDIAN(IF(Flips!$D$2:$D$135=A29,Flips!$O$2:$O$135))</f>
        <v/>
      </c>
    </row>
    <row r="30" ht="15" customHeight="1" s="14">
      <c r="A30" s="17" t="inlineStr">
        <is>
          <t>España</t>
        </is>
      </c>
      <c r="B30" s="17">
        <f>COUNTIF(Flips!$D$2:$D$135,A30)</f>
        <v/>
      </c>
      <c r="C30" s="31">
        <f t="array" ref="C30:C30">MEDIAN(IF(Flips!$D$2:$D$135=A30,Flips!$M$2:$M$135))</f>
        <v/>
      </c>
      <c r="D30" s="31">
        <f t="array" ref="D30:D30">MEDIAN(IF(Flips!$D$2:$D$135=A30,Flips!$O$2:$O$135))</f>
        <v/>
      </c>
    </row>
    <row r="31" ht="15" customHeight="1" s="14">
      <c r="A31" s="17" t="inlineStr">
        <is>
          <t>Polska</t>
        </is>
      </c>
      <c r="B31" s="17">
        <f>COUNTIF(Flips!$D$2:$D$135,A31)</f>
        <v/>
      </c>
      <c r="C31" s="31">
        <f t="array" ref="C31:C31">MEDIAN(IF(Flips!$D$2:$D$135=A31,Flips!$M$2:$M$135))</f>
        <v/>
      </c>
      <c r="D31" s="31">
        <f t="array" ref="D31:D31">MEDIAN(IF(Flips!$D$2:$D$135=A31,Flips!$O$2:$O$135))</f>
        <v/>
      </c>
    </row>
    <row r="32" ht="15" customHeight="1" s="14">
      <c r="A32" s="17" t="inlineStr">
        <is>
          <t>Lietuva</t>
        </is>
      </c>
      <c r="B32" s="17">
        <f>COUNTIF(Flips!$D$2:$D$135,A32)</f>
        <v/>
      </c>
      <c r="C32" s="31">
        <f t="array" ref="C32:C32">MEDIAN(IF(Flips!$D$2:$D$135=A32,Flips!$M$2:$M$135))</f>
        <v/>
      </c>
      <c r="D32" s="31">
        <f t="array" ref="D32:D32">MEDIAN(IF(Flips!$D$2:$D$135=A32,Flips!$O$2:$O$135))</f>
        <v/>
      </c>
    </row>
    <row r="33" ht="15" customHeight="1" s="14">
      <c r="A33" s="17" t="inlineStr">
        <is>
          <t>Italia</t>
        </is>
      </c>
      <c r="B33" s="17">
        <f>COUNTIF(Flips!$D$2:$D$135,A33)</f>
        <v/>
      </c>
      <c r="C33" s="31">
        <f t="array" ref="C33:C33">MEDIAN(IF(Flips!$D$2:$D$135=A33,Flips!$M$2:$M$135))</f>
        <v/>
      </c>
      <c r="D33" s="31">
        <f t="array" ref="D33:D33">MEDIAN(IF(Flips!$D$2:$D$135=A33,Flips!$O$2:$O$135))</f>
        <v/>
      </c>
    </row>
    <row r="34" ht="15" customHeight="1" s="14">
      <c r="A34" s="17" t="inlineStr">
        <is>
          <t>Hellas</t>
        </is>
      </c>
      <c r="B34" s="17">
        <f>COUNTIF(Flips!$D$2:$D$135,A34)</f>
        <v/>
      </c>
      <c r="C34" s="31">
        <f t="array" ref="C34:C34">MEDIAN(IF(Flips!$D$2:$D$135=A34,Flips!$M$2:$M$135))</f>
        <v/>
      </c>
      <c r="D34" s="31">
        <f t="array" ref="D34:D34">MEDIAN(IF(Flips!$D$2:$D$135=A34,Flips!$O$2:$O$135))</f>
        <v/>
      </c>
    </row>
    <row r="35" ht="15" customHeight="1" s="14">
      <c r="A35" s="17" t="inlineStr">
        <is>
          <t>USA</t>
        </is>
      </c>
      <c r="B35" s="17">
        <f>COUNTIF(Flips!$D$2:$D$135,A35)</f>
        <v/>
      </c>
      <c r="C35" s="31">
        <f t="array" ref="C35:C35">MEDIAN(IF(Flips!$D$2:$D$135=A35,Flips!$M$2:$M$135))</f>
        <v/>
      </c>
      <c r="D35" s="31">
        <f t="array" ref="D35:D35">MEDIAN(IF(Flips!$D$2:$D$135=A35,Flips!$O$2:$O$135))</f>
        <v/>
      </c>
    </row>
    <row r="36" ht="15" customHeight="1" s="14">
      <c r="A36" s="17" t="inlineStr">
        <is>
          <t>France</t>
        </is>
      </c>
      <c r="B36" s="17">
        <f>COUNTIF(Flips!$D$2:$D$135,A36)</f>
        <v/>
      </c>
      <c r="C36" s="31">
        <f t="array" ref="C36:C36">MEDIAN(IF(Flips!$D$2:$D$135=A36,Flips!$M$2:$M$135))</f>
        <v/>
      </c>
      <c r="D36" s="31">
        <f t="array" ref="D36:D36">MEDIAN(IF(Flips!$D$2:$D$135=A36,Flips!$O$2:$O$135))</f>
        <v/>
      </c>
    </row>
    <row r="37" ht="15" customHeight="1" s="14">
      <c r="A37" s="17" t="inlineStr">
        <is>
          <t>China</t>
        </is>
      </c>
      <c r="B37" s="17">
        <f>COUNTIF(Flips!$D$2:$D$135,A37)</f>
        <v/>
      </c>
      <c r="C37" s="31">
        <f t="array" ref="C37:C37">MEDIAN(IF(Flips!$D$2:$D$135=A37,Flips!$M$2:$M$135))</f>
        <v/>
      </c>
      <c r="D37" s="31">
        <f t="array" ref="D37:D37">MEDIAN(IF(Flips!$D$2:$D$135=A37,Flips!$O$2:$O$135))</f>
        <v/>
      </c>
    </row>
    <row r="38" ht="15" customHeight="1" s="14">
      <c r="A38" s="17" t="inlineStr">
        <is>
          <t>Deutschland</t>
        </is>
      </c>
      <c r="B38" s="17">
        <f>COUNTIF(Flips!$D$2:$D$135,A38)</f>
        <v/>
      </c>
      <c r="C38" s="31">
        <f t="array" ref="C38:C38">MEDIAN(IF(Flips!$D$2:$D$135=A38,Flips!$M$2:$M$135))</f>
        <v/>
      </c>
      <c r="D38" s="31">
        <f t="array" ref="D38:D38">MEDIAN(IF(Flips!$D$2:$D$135=A38,Flips!$O$2:$O$135))</f>
        <v/>
      </c>
    </row>
    <row r="39" ht="15" customHeight="1" s="14">
      <c r="A39" s="17" t="inlineStr">
        <is>
          <t>Pilipinas</t>
        </is>
      </c>
      <c r="B39" s="17">
        <f>COUNTIF(Flips!$D$2:$D$135,A39)</f>
        <v/>
      </c>
      <c r="C39" s="31">
        <f t="array" ref="C39:C39">MEDIAN(IF(Flips!$D$2:$D$135=A39,Flips!$M$2:$M$135))</f>
        <v/>
      </c>
      <c r="D39" s="31">
        <f t="array" ref="D39:D39">MEDIAN(IF(Flips!$D$2:$D$135=A39,Flips!$O$2:$O$135))</f>
        <v/>
      </c>
    </row>
    <row r="40" ht="15" customHeight="1" s="14">
      <c r="A40" s="17" t="inlineStr">
        <is>
          <t>Sverige</t>
        </is>
      </c>
      <c r="B40" s="17">
        <f>COUNTIF(Flips!$D$2:$D$135,A40)</f>
        <v/>
      </c>
      <c r="C40" s="31">
        <f t="array" ref="C40:C40">MEDIAN(IF(Flips!$D$2:$D$135=A40,Flips!$M$2:$M$135))</f>
        <v/>
      </c>
      <c r="D40" s="31">
        <f t="array" ref="D40:D40">MEDIAN(IF(Flips!$D$2:$D$135=A40,Flips!$O$2:$O$135))</f>
        <v/>
      </c>
    </row>
    <row r="41" ht="15" customHeight="1" s="14">
      <c r="A41" s="17" t="inlineStr">
        <is>
          <t>Magyarország</t>
        </is>
      </c>
      <c r="B41" s="17">
        <f>COUNTIF(Flips!$D$2:$D$135,A41)</f>
        <v/>
      </c>
      <c r="C41" s="31">
        <f t="array" ref="C41:C41">MEDIAN(IF(Flips!$D$2:$D$135=A41,Flips!$M$2:$M$135))</f>
        <v/>
      </c>
      <c r="D41" s="31">
        <f t="array" ref="D41:D41">MEDIAN(IF(Flips!$D$2:$D$135=A41,Flips!$O$2:$O$135))</f>
        <v/>
      </c>
    </row>
    <row r="42" ht="15" customHeight="1" s="14">
      <c r="A42" s="17" t="inlineStr">
        <is>
          <t>Suomi</t>
        </is>
      </c>
      <c r="B42" s="17">
        <f>COUNTIF(Flips!$D$2:$D$135,A42)</f>
        <v/>
      </c>
      <c r="C42" s="31">
        <f t="array" ref="C42:C42">MEDIAN(IF(Flips!$D$2:$D$135=A42,Flips!$M$2:$M$135))</f>
        <v/>
      </c>
      <c r="D42" s="31">
        <f t="array" ref="D42:D42">MEDIAN(IF(Flips!$D$2:$D$135=A42,Flips!$O$2:$O$135))</f>
        <v/>
      </c>
    </row>
    <row r="43" ht="15" customHeight="1" s="14">
      <c r="A43" s="17" t="inlineStr">
        <is>
          <t>Latvija</t>
        </is>
      </c>
      <c r="B43" s="17">
        <f>COUNTIF(Flips!$D$2:$D$135,A43)</f>
        <v/>
      </c>
      <c r="C43" s="31">
        <f t="array" ref="C43:C43">MEDIAN(IF(Flips!$D$2:$D$135=A43,Flips!$M$2:$M$135))</f>
        <v/>
      </c>
      <c r="D43" s="31">
        <f t="array" ref="D43:D43">MEDIAN(IF(Flips!$D$2:$D$135=A43,Flips!$O$2:$O$135))</f>
        <v/>
      </c>
    </row>
    <row r="44" ht="15" customHeight="1" s="14">
      <c r="A44" s="17" t="inlineStr">
        <is>
          <t>Slovenija</t>
        </is>
      </c>
      <c r="B44" s="17">
        <f>COUNTIF(Flips!$D$2:$D$135,A44)</f>
        <v/>
      </c>
      <c r="C44" s="31">
        <f t="array" ref="C44:C44">MEDIAN(IF(Flips!$D$2:$D$135=A44,Flips!$M$2:$M$135))</f>
        <v/>
      </c>
      <c r="D44" s="31">
        <f t="array" ref="D44:D44">MEDIAN(IF(Flips!$D$2:$D$135=A44,Flips!$O$2:$O$135))</f>
        <v/>
      </c>
    </row>
    <row r="45" ht="15" customHeight="1" s="14">
      <c r="A45" s="17" t="inlineStr">
        <is>
          <t>Uruguay</t>
        </is>
      </c>
      <c r="B45" s="17">
        <f>COUNTIF(Flips!$D$2:$D$135,A45)</f>
        <v/>
      </c>
      <c r="C45" s="31">
        <f t="array" ref="C45:C45">MEDIAN(IF(Flips!$D$2:$D$135=A45,Flips!$M$2:$M$135))</f>
        <v/>
      </c>
      <c r="D45" s="31">
        <f t="array" ref="D45:D45">MEDIAN(IF(Flips!$D$2:$D$135=A45,Flips!$O$2:$O$135))</f>
        <v/>
      </c>
    </row>
    <row r="46" ht="15" customHeight="1" s="14">
      <c r="A46" s="17" t="inlineStr">
        <is>
          <t>Nederland</t>
        </is>
      </c>
      <c r="B46" s="17">
        <f>COUNTIF(Flips!$D$2:$D$135,A46)</f>
        <v/>
      </c>
      <c r="C46" s="31">
        <f t="array" ref="C46:C46">MEDIAN(IF(Flips!$D$2:$D$135=A46,Flips!$M$2:$M$135))</f>
        <v/>
      </c>
      <c r="D46" s="31">
        <f t="array" ref="D46:D46">MEDIAN(IF(Flips!$D$2:$D$135=A46,Flips!$O$2:$O$135))</f>
        <v/>
      </c>
    </row>
    <row r="47" ht="15" customHeight="1" s="14">
      <c r="A47" s="17" t="inlineStr">
        <is>
          <t>Bosna i Hercegovina</t>
        </is>
      </c>
      <c r="B47" s="17">
        <f>COUNTIF(Flips!$D$2:$D$135,A47)</f>
        <v/>
      </c>
      <c r="C47" s="31">
        <f t="array" ref="C47:C47">MEDIAN(IF(Flips!$D$2:$D$135=A47,Flips!$M$2:$M$135))</f>
        <v/>
      </c>
      <c r="D47" s="31">
        <f t="array" ref="D47:D47">MEDIAN(IF(Flips!$D$2:$D$135=A47,Flips!$O$2:$O$135))</f>
        <v/>
      </c>
    </row>
    <row r="48" ht="15" customHeight="1" s="14">
      <c r="A48" s="17" t="inlineStr">
        <is>
          <t>Argentina</t>
        </is>
      </c>
      <c r="B48" s="17">
        <f>COUNTIF(Flips!$D$2:$D$135,A48)</f>
        <v/>
      </c>
      <c r="C48" s="31">
        <f t="array" ref="C48:C48">MEDIAN(IF(Flips!$D$2:$D$135=A48,Flips!$M$2:$M$135))</f>
        <v/>
      </c>
      <c r="D48" s="31">
        <f t="array" ref="D48:D48">MEDIAN(IF(Flips!$D$2:$D$135=A48,Flips!$O$2:$O$135))</f>
        <v/>
      </c>
    </row>
    <row r="49" ht="15" customHeight="1" s="14">
      <c r="A49" s="17" t="inlineStr">
        <is>
          <t>England</t>
        </is>
      </c>
      <c r="B49" s="17">
        <f>COUNTIF(Flips!$D$2:$D$135,A49)</f>
        <v/>
      </c>
      <c r="C49" s="31">
        <f t="array" ref="C49:C49">MEDIAN(IF(Flips!$D$2:$D$135=A49,Flips!$M$2:$M$135))</f>
        <v/>
      </c>
      <c r="D49" s="31">
        <f t="array" ref="D49:D49">MEDIAN(IF(Flips!$D$2:$D$135=A49,Flips!$O$2:$O$135))</f>
        <v/>
      </c>
    </row>
    <row r="50" ht="15" customHeight="1" s="14">
      <c r="A50" s="17" t="inlineStr">
        <is>
          <t>Hrvatska</t>
        </is>
      </c>
      <c r="B50" s="17">
        <f>COUNTIF(Flips!$D$2:$D$135,A50)</f>
        <v/>
      </c>
      <c r="C50" s="31">
        <f t="array" ref="C50:C50">MEDIAN(IF(Flips!$D$2:$D$135=A50,Flips!$M$2:$M$135))</f>
        <v/>
      </c>
      <c r="D50" s="31">
        <f t="array" ref="D50:D50">MEDIAN(IF(Flips!$D$2:$D$135=A50,Flips!$O$2:$O$135))</f>
        <v/>
      </c>
    </row>
    <row r="51" ht="15" customHeight="1" s="14">
      <c r="A51" s="17" t="inlineStr">
        <is>
          <t>Belarus</t>
        </is>
      </c>
      <c r="B51" s="17">
        <f>COUNTIF(Flips!$D$2:$D$135,A51)</f>
        <v/>
      </c>
      <c r="C51" s="31">
        <f t="array" ref="C51:C51">MEDIAN(IF(Flips!$D$2:$D$135=A51,Flips!$M$2:$M$135))</f>
        <v/>
      </c>
      <c r="D51" s="31">
        <f t="array" ref="D51:D51">MEDIAN(IF(Flips!$D$2:$D$135=A51,Flips!$O$2:$O$135))</f>
        <v/>
      </c>
    </row>
    <row r="52" ht="15" customHeight="1" s="14">
      <c r="A52" s="17" t="inlineStr">
        <is>
          <t>Brasil</t>
        </is>
      </c>
      <c r="B52" s="17">
        <f>COUNTIF(Flips!$D$2:$D$135,A52)</f>
        <v/>
      </c>
      <c r="C52" s="31">
        <f t="array" ref="C52:C52">MEDIAN(IF(Flips!$D$2:$D$135=A52,Flips!$M$2:$M$135))</f>
        <v/>
      </c>
      <c r="D52" s="31">
        <f t="array" ref="D52:D52">MEDIAN(IF(Flips!$D$2:$D$135=A52,Flips!$O$2:$O$135))</f>
        <v/>
      </c>
    </row>
    <row r="53" ht="15" customHeight="1" s="14">
      <c r="A53" s="17" t="inlineStr">
        <is>
          <t>Eesti</t>
        </is>
      </c>
      <c r="B53" s="17">
        <f>COUNTIF(Flips!$D$2:$D$135,A53)</f>
        <v/>
      </c>
      <c r="C53" s="31">
        <f t="array" ref="C53:C53">MEDIAN(IF(Flips!$D$2:$D$135=A53,Flips!$M$2:$M$135))</f>
        <v/>
      </c>
      <c r="D53" s="31">
        <f t="array" ref="D53:D53">MEDIAN(IF(Flips!$D$2:$D$135=A53,Flips!$O$2:$O$135))</f>
        <v/>
      </c>
    </row>
    <row r="54" ht="15" customHeight="1" s="14">
      <c r="A54" s="17" t="inlineStr">
        <is>
          <t>Türkiye</t>
        </is>
      </c>
      <c r="B54" s="17">
        <f>COUNTIF(Flips!$D$2:$D$135,A54)</f>
        <v/>
      </c>
      <c r="C54" s="31">
        <f t="array" ref="C54:C54">MEDIAN(IF(Flips!$D$2:$D$135=A54,Flips!$M$2:$M$135))</f>
        <v/>
      </c>
      <c r="D54" s="31">
        <f t="array" ref="D54:D54">MEDIAN(IF(Flips!$D$2:$D$135=A54,Flips!$O$2:$O$135))</f>
        <v/>
      </c>
    </row>
    <row r="55" ht="15" customHeight="1" s="14">
      <c r="A55" s="17" t="inlineStr">
        <is>
          <t>Ísland</t>
        </is>
      </c>
      <c r="B55" s="17">
        <f>COUNTIF(Flips!$D$2:$D$135,A55)</f>
        <v/>
      </c>
      <c r="C55" s="31">
        <f t="array" ref="C55:C55">MEDIAN(IF(Flips!$D$2:$D$135=A55,Flips!$M$2:$M$135))</f>
        <v/>
      </c>
      <c r="D55" s="31">
        <f t="array" ref="D55:D55">MEDIAN(IF(Flips!$D$2:$D$135=A55,Flips!$O$2:$O$135))</f>
        <v/>
      </c>
    </row>
    <row r="56" ht="15" customHeight="1" s="14">
      <c r="A56" s="17" t="inlineStr">
        <is>
          <t>Bulgaria</t>
        </is>
      </c>
      <c r="B56" s="17">
        <f>COUNTIF(Flips!$D$2:$D$135,A56)</f>
        <v/>
      </c>
      <c r="C56" s="31">
        <f t="array" ref="C56:C56">MEDIAN(IF(Flips!$D$2:$D$135=A56,Flips!$M$2:$M$135))</f>
        <v/>
      </c>
      <c r="D56" s="31">
        <f t="array" ref="D56:D56">MEDIAN(IF(Flips!$D$2:$D$135=A56,Flips!$O$2:$O$135))</f>
        <v/>
      </c>
    </row>
    <row r="57" ht="15" customHeight="1" s="14">
      <c r="A57" s="17" t="inlineStr">
        <is>
          <t>México</t>
        </is>
      </c>
      <c r="B57" s="17">
        <f>COUNTIF(Flips!$D$2:$D$135,A57)</f>
        <v/>
      </c>
      <c r="C57" s="31">
        <f t="array" ref="C57:C57">MEDIAN(IF(Flips!$D$2:$D$135=A57,Flips!$M$2:$M$135))</f>
        <v/>
      </c>
      <c r="D57" s="31">
        <f t="array" ref="D57:D57">MEDIAN(IF(Flips!$D$2:$D$135=A57,Flips!$O$2:$O$135))</f>
        <v/>
      </c>
    </row>
    <row r="58" ht="15" customHeight="1" s="14">
      <c r="A58" s="17" t="inlineStr">
        <is>
          <t>Taiwan</t>
        </is>
      </c>
      <c r="B58" s="17">
        <f>COUNTIF(Flips!$D$2:$D$135,A58)</f>
        <v/>
      </c>
      <c r="C58" s="31">
        <f t="array" ref="C58:C58">MEDIAN(IF(Flips!$D$2:$D$135=A58,Flips!$M$2:$M$135))</f>
        <v/>
      </c>
      <c r="D58" s="31">
        <f t="array" ref="D58:D58">MEDIAN(IF(Flips!$D$2:$D$135=A58,Flips!$O$2:$O$135))</f>
        <v/>
      </c>
    </row>
    <row r="59" ht="15" customHeight="1" s="14">
      <c r="A59" s="17" t="inlineStr">
        <is>
          <t>Portugal</t>
        </is>
      </c>
      <c r="B59" s="17">
        <f>COUNTIF(Flips!$D$2:$D$135,A59)</f>
        <v/>
      </c>
      <c r="C59" s="31">
        <f t="array" ref="C59:C59">MEDIAN(IF(Flips!$D$2:$D$135=A59,Flips!$M$2:$M$135))</f>
        <v/>
      </c>
      <c r="D59" s="31">
        <f t="array" ref="D59:D59">MEDIAN(IF(Flips!$D$2:$D$135=A59,Flips!$O$2:$O$135))</f>
        <v/>
      </c>
    </row>
    <row r="60" ht="15" customHeight="1" s="14">
      <c r="A60" s="17" t="inlineStr">
        <is>
          <t>Slovensko</t>
        </is>
      </c>
      <c r="B60" s="17">
        <f>COUNTIF(Flips!$D$2:$D$135,A60)</f>
        <v/>
      </c>
      <c r="C60" s="31">
        <f t="array" ref="C60:C60">MEDIAN(IF(Flips!$D$2:$D$135=A60,Flips!$M$2:$M$135))</f>
        <v/>
      </c>
      <c r="D60" s="31">
        <f t="array" ref="D60:D60">MEDIAN(IF(Flips!$D$2:$D$135=A60,Flips!$O$2:$O$135))</f>
        <v/>
      </c>
    </row>
    <row r="61" ht="15" customHeight="1" s="14">
      <c r="A61" s="17" t="inlineStr">
        <is>
          <t>Hong Kong</t>
        </is>
      </c>
      <c r="B61" s="17">
        <f>COUNTIF(Flips!$D$2:$D$135,A61)</f>
        <v/>
      </c>
      <c r="C61" s="31">
        <f t="array" ref="C61:C61">MEDIAN(IF(Flips!$D$2:$D$135=A61,Flips!$M$2:$M$135))</f>
        <v/>
      </c>
      <c r="D61" s="31">
        <f t="array" ref="D61:D61">MEDIAN(IF(Flips!$D$2:$D$135=A61,Flips!$O$2:$O$135))</f>
        <v/>
      </c>
    </row>
    <row r="62" ht="15" customHeight="1" s="14">
      <c r="A62" s="17" t="inlineStr">
        <is>
          <t>Prathet Thai</t>
        </is>
      </c>
      <c r="B62" s="17">
        <f>COUNTIF(Flips!$D$2:$D$135,A62)</f>
        <v/>
      </c>
      <c r="C62" s="31">
        <f t="array" ref="C62:C62">MEDIAN(IF(Flips!$D$2:$D$135=A62,Flips!$M$2:$M$135))</f>
        <v/>
      </c>
      <c r="D62" s="31">
        <f t="array" ref="D62:D62">MEDIAN(IF(Flips!$D$2:$D$135=A62,Flips!$O$2:$O$135))</f>
        <v/>
      </c>
    </row>
    <row r="63" ht="15" customHeight="1" s="14">
      <c r="A63" s="17" t="inlineStr">
        <is>
          <t>Danmark</t>
        </is>
      </c>
      <c r="B63" s="17">
        <f>COUNTIF(Flips!$D$2:$D$135,A63)</f>
        <v/>
      </c>
      <c r="C63" s="31">
        <f t="array" ref="C63:C63">MEDIAN(IF(Flips!$D$2:$D$135=A63,Flips!$M$2:$M$135))</f>
        <v/>
      </c>
      <c r="D63" s="31">
        <f t="array" ref="D63:D63">MEDIAN(IF(Flips!$D$2:$D$135=A63,Flips!$O$2:$O$135))</f>
        <v/>
      </c>
    </row>
    <row r="64" ht="15" customHeight="1" s="14">
      <c r="A64" s="17" t="inlineStr">
        <is>
          <t>Macau</t>
        </is>
      </c>
      <c r="B64" s="17">
        <f>COUNTIF(Flips!$D$2:$D$135,A64)</f>
        <v/>
      </c>
      <c r="C64" s="31">
        <f t="array" ref="C64:C64">MEDIAN(IF(Flips!$D$2:$D$135=A64,Flips!$M$2:$M$135))</f>
        <v/>
      </c>
      <c r="D64" s="31">
        <f t="array" ref="D64:D64">MEDIAN(IF(Flips!$D$2:$D$135=A64,Flips!$O$2:$O$135))</f>
        <v/>
      </c>
    </row>
    <row r="65" ht="15" customHeight="1" s="14">
      <c r="A65" s="17" t="inlineStr">
        <is>
          <t>Cyprus</t>
        </is>
      </c>
      <c r="B65" s="17">
        <f>COUNTIF(Flips!$D$2:$D$135,A65)</f>
        <v/>
      </c>
      <c r="C65" s="31">
        <f t="array" ref="C65:C65">MEDIAN(IF(Flips!$D$2:$D$135=A65,Flips!$M$2:$M$135))</f>
        <v/>
      </c>
      <c r="D65" s="31">
        <f t="array" ref="D65:D65">MEDIAN(IF(Flips!$D$2:$D$135=A65,Flips!$O$2:$O$135))</f>
        <v/>
      </c>
    </row>
    <row r="66" ht="15" customHeight="1" s="14">
      <c r="A66" s="17" t="inlineStr">
        <is>
          <t>Ecuador</t>
        </is>
      </c>
      <c r="B66" s="17">
        <f>COUNTIF(Flips!$D$2:$D$135,A66)</f>
        <v/>
      </c>
      <c r="C66" s="31">
        <f t="array" ref="C66:C66">MEDIAN(IF(Flips!$D$2:$D$135=A66,Flips!$M$2:$M$135))</f>
        <v/>
      </c>
      <c r="D66" s="31">
        <f t="array" ref="D66:D66">MEDIAN(IF(Flips!$D$2:$D$135=A66,Flips!$O$2:$O$135))</f>
        <v/>
      </c>
    </row>
    <row r="67" ht="15" customHeight="1" s="14">
      <c r="A67" s="17" t="inlineStr">
        <is>
          <t>Indonesia</t>
        </is>
      </c>
      <c r="B67" s="17">
        <f>COUNTIF(Flips!$D$2:$D$135,A67)</f>
        <v/>
      </c>
      <c r="C67" s="31">
        <f t="array" ref="C67:C67">MEDIAN(IF(Flips!$D$2:$D$135=A67,Flips!$M$2:$M$135))</f>
        <v/>
      </c>
      <c r="D67" s="31">
        <f t="array" ref="D67:D67">MEDIAN(IF(Flips!$D$2:$D$135=A67,Flips!$O$2:$O$135))</f>
        <v/>
      </c>
    </row>
    <row r="68" ht="15" customHeight="1" s="14">
      <c r="A68" s="17" t="inlineStr">
        <is>
          <t>Ukraina</t>
        </is>
      </c>
      <c r="B68" s="17">
        <f>COUNTIF(Flips!$D$2:$D$135,A68)</f>
        <v/>
      </c>
      <c r="C68" s="31">
        <f t="array" ref="C68:C68">MEDIAN(IF(Flips!$D$2:$D$135=A68,Flips!$M$2:$M$135))</f>
        <v/>
      </c>
      <c r="D68" s="31">
        <f t="array" ref="D68:D68">MEDIAN(IF(Flips!$D$2:$D$135=A68,Flips!$O$2:$O$135))</f>
        <v/>
      </c>
    </row>
    <row r="69" ht="15" customHeight="1" s="14">
      <c r="A69" s="17" t="inlineStr">
        <is>
          <t>Puerto Rico</t>
        </is>
      </c>
      <c r="B69" s="17">
        <f>COUNTIF(Flips!$D$2:$D$135,A69)</f>
        <v/>
      </c>
      <c r="C69" s="31">
        <f t="array" ref="C69:C69">MEDIAN(IF(Flips!$D$2:$D$135=A69,Flips!$M$2:$M$135))</f>
        <v/>
      </c>
      <c r="D69" s="31">
        <f t="array" ref="D69:D69">MEDIAN(IF(Flips!$D$2:$D$135=A69,Flips!$O$2:$O$135))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2026-09-24T20:22:05Z</dcterms:created>
  <dcterms:modified xsi:type="dcterms:W3CDTF">2026-09-24T22:27:25Z</dcterms:modified>
  <cp:revision>0</cp:revision>
</cp:coreProperties>
</file>